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By form" sheetId="3" state="visible" r:id="rId3"/>
    <sheet xmlns:r="http://schemas.openxmlformats.org/officeDocument/2006/relationships" name="Mone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£#,##0.00"/>
    <numFmt numFmtId="165" formatCode="dd/mm/yyyy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94505F"/>
      <sz val="17"/>
    </font>
    <font>
      <name val="Calibri"/>
      <charset val="1"/>
      <family val="0"/>
      <i val="1"/>
      <color rgb="FF7C6C69"/>
      <sz val="9"/>
    </font>
    <font>
      <name val="Georgia"/>
      <charset val="1"/>
      <family val="0"/>
      <b val="1"/>
      <color rgb="FF94505F"/>
      <sz val="13"/>
    </font>
    <font>
      <name val="Calibri"/>
      <charset val="1"/>
      <family val="0"/>
      <i val="1"/>
      <color rgb="FF7C6C69"/>
      <sz val="9.5"/>
    </font>
    <font>
      <name val="Calibri"/>
      <charset val="1"/>
      <family val="0"/>
      <b val="1"/>
      <color rgb="FF453B3A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i val="1"/>
      <color rgb="FFA99B97"/>
      <sz val="9"/>
    </font>
    <font>
      <name val="Calibri"/>
      <charset val="1"/>
      <family val="0"/>
      <b val="1"/>
      <color rgb="FF94505F"/>
      <sz val="10"/>
    </font>
    <font>
      <name val="Calibri"/>
      <charset val="1"/>
      <family val="0"/>
      <color rgb="FF7C6C69"/>
      <sz val="9.5"/>
    </font>
    <font>
      <name val="Calibri"/>
      <charset val="1"/>
      <family val="0"/>
      <b val="1"/>
      <color rgb="FFFFFDF7"/>
      <sz val="9"/>
    </font>
    <font>
      <name val="Calibri"/>
      <charset val="1"/>
      <family val="0"/>
      <color rgb="FF453B3A"/>
      <sz val="9.5"/>
    </font>
    <font>
      <name val="Calibri"/>
      <charset val="1"/>
      <family val="0"/>
      <b val="1"/>
      <color rgb="FFFFFDF7"/>
      <sz val="10"/>
    </font>
    <font>
      <name val="Calibri"/>
      <charset val="1"/>
      <family val="0"/>
      <b val="1"/>
      <color rgb="FF94505F"/>
      <sz val="9.5"/>
    </font>
    <font>
      <name val="Calibri"/>
      <charset val="1"/>
      <family val="0"/>
      <color rgb="FF0000FF"/>
      <sz val="9.5"/>
    </font>
    <font>
      <name val="Calibri"/>
      <charset val="1"/>
      <family val="0"/>
      <b val="1"/>
      <color rgb="FF453B3A"/>
      <sz val="9.5"/>
    </font>
    <font>
      <name val="Calibri"/>
      <charset val="1"/>
      <family val="0"/>
      <i val="1"/>
      <color rgb="FF94505F"/>
      <sz val="9.5"/>
    </font>
    <font>
      <name val="Calibri"/>
      <charset val="1"/>
      <family val="0"/>
      <color rgb="FF453B3A"/>
      <sz val="10"/>
    </font>
    <font>
      <name val="Calibri"/>
      <charset val="1"/>
      <family val="0"/>
      <color rgb="FF453B3A"/>
      <sz val="10.5"/>
    </font>
    <font>
      <name val="Calibri"/>
      <charset val="1"/>
      <family val="0"/>
      <b val="1"/>
      <color rgb="FF453B3A"/>
      <sz val="10.5"/>
    </font>
    <font>
      <name val="Calibri"/>
      <charset val="1"/>
      <family val="0"/>
      <b val="1"/>
      <color rgb="FF94505F"/>
      <sz val="13"/>
    </font>
    <font>
      <name val="Calibri"/>
      <charset val="1"/>
      <family val="0"/>
      <color rgb="FF453B3A"/>
      <sz val="9"/>
    </font>
    <font>
      <name val="Georgia"/>
      <charset val="1"/>
      <family val="0"/>
      <color rgb="FF94505F"/>
      <sz val="17"/>
    </font>
    <font>
      <name val="Calibri"/>
      <charset val="1"/>
      <family val="0"/>
      <i val="1"/>
      <color rgb="FF7C6C69"/>
      <sz val="9"/>
    </font>
    <font>
      <name val="Georgia"/>
      <charset val="1"/>
      <family val="0"/>
      <color rgb="FF94505F"/>
      <sz val="13"/>
    </font>
    <font>
      <name val="Calibri"/>
      <charset val="1"/>
      <family val="0"/>
      <i val="1"/>
      <color rgb="FF7C6C69"/>
      <sz val="9.5"/>
    </font>
    <font>
      <name val="Calibri"/>
      <charset val="1"/>
      <family val="0"/>
      <b val="1"/>
      <color rgb="FF453B3A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i val="1"/>
      <color rgb="FFA99B97"/>
      <sz val="9"/>
    </font>
    <font>
      <name val="Calibri"/>
      <charset val="1"/>
      <family val="0"/>
      <b val="1"/>
      <color rgb="FF94505F"/>
      <sz val="10"/>
    </font>
    <font>
      <name val="Calibri"/>
      <charset val="1"/>
      <family val="0"/>
      <color rgb="FF7C6C69"/>
      <sz val="9.5"/>
    </font>
    <font>
      <name val="Calibri"/>
      <charset val="1"/>
      <family val="0"/>
      <b val="1"/>
      <color rgb="FFFFFDF7"/>
      <sz val="9"/>
    </font>
    <font>
      <name val="Calibri"/>
      <charset val="1"/>
      <family val="0"/>
      <color rgb="FF453B3A"/>
      <sz val="9.5"/>
    </font>
    <font>
      <name val="Calibri"/>
      <charset val="1"/>
      <family val="0"/>
      <b val="1"/>
      <color rgb="FFFFFDF7"/>
      <sz val="10"/>
    </font>
    <font>
      <name val="Calibri"/>
      <charset val="1"/>
      <family val="0"/>
      <b val="1"/>
      <color rgb="FF94505F"/>
      <sz val="9.5"/>
    </font>
    <font>
      <name val="Calibri"/>
      <charset val="1"/>
      <family val="0"/>
      <color rgb="FF0000FF"/>
      <sz val="9.5"/>
    </font>
    <font>
      <name val="Calibri"/>
      <charset val="1"/>
      <family val="0"/>
      <b val="1"/>
      <color rgb="FF453B3A"/>
      <sz val="9.5"/>
    </font>
    <font>
      <name val="Calibri"/>
      <charset val="1"/>
      <family val="0"/>
      <i val="1"/>
      <color rgb="FF94505F"/>
      <sz val="9.5"/>
    </font>
    <font>
      <name val="Calibri"/>
      <charset val="1"/>
      <family val="0"/>
      <color rgb="FF453B3A"/>
      <sz val="10"/>
    </font>
    <font>
      <name val="Calibri"/>
      <charset val="1"/>
      <family val="0"/>
      <color rgb="FF453B3A"/>
      <sz val="10.5"/>
    </font>
    <font>
      <name val="Calibri"/>
      <charset val="1"/>
      <family val="0"/>
      <b val="1"/>
      <color rgb="FF453B3A"/>
      <sz val="10.5"/>
    </font>
    <font>
      <name val="Calibri"/>
      <charset val="1"/>
      <family val="0"/>
      <b val="1"/>
      <color rgb="FF94505F"/>
      <sz val="13"/>
    </font>
    <font>
      <name val="Calibri"/>
      <charset val="1"/>
      <family val="0"/>
      <color rgb="FF453B3A"/>
      <sz val="9"/>
    </font>
  </fonts>
  <fills count="7">
    <fill>
      <patternFill/>
    </fill>
    <fill>
      <patternFill patternType="gray125"/>
    </fill>
    <fill>
      <patternFill patternType="solid">
        <fgColor rgb="FFF8EEF0"/>
        <bgColor rgb="FFFCF6F7"/>
      </patternFill>
    </fill>
    <fill>
      <patternFill patternType="solid">
        <fgColor rgb="FFFFF6D9"/>
        <bgColor rgb="FFFFF2CF"/>
      </patternFill>
    </fill>
    <fill>
      <patternFill patternType="solid">
        <fgColor rgb="FF94505F"/>
        <bgColor rgb="FF993366"/>
      </patternFill>
    </fill>
    <fill>
      <patternFill patternType="solid">
        <fgColor rgb="FFFCF6F7"/>
        <bgColor rgb="FFFFFDF7"/>
      </patternFill>
    </fill>
    <fill>
      <patternFill patternType="solid">
        <fgColor rgb="FFFFF2CF"/>
        <bgColor rgb="FFFFF6D9"/>
      </patternFill>
    </fill>
  </fills>
  <borders count="2">
    <border>
      <left/>
      <right/>
      <top/>
      <bottom/>
      <diagonal/>
    </border>
    <border>
      <left style="thin">
        <color rgb="FFE8CBD2"/>
      </left>
      <right style="thin">
        <color rgb="FFE8CBD2"/>
      </right>
      <top style="thin">
        <color rgb="FFE8CBD2"/>
      </top>
      <bottom style="thin">
        <color rgb="FFE8CBD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164" fontId="9" fillId="3" borderId="1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9" fillId="3" borderId="1" applyAlignment="1" pivotButton="0" quotePrefix="0" xfId="0">
      <alignment horizontal="general" vertical="center"/>
    </xf>
    <xf numFmtId="165" fontId="9" fillId="3" borderId="1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3" fillId="4" borderId="1" applyAlignment="1" pivotButton="0" quotePrefix="0" xfId="0">
      <alignment horizontal="center" vertical="bottom"/>
    </xf>
    <xf numFmtId="0" fontId="14" fillId="5" borderId="1" applyAlignment="1" pivotButton="0" quotePrefix="0" xfId="0">
      <alignment horizontal="center" vertical="bottom"/>
    </xf>
    <xf numFmtId="0" fontId="14" fillId="5" borderId="1" applyAlignment="1" pivotButton="0" quotePrefix="0" xfId="0">
      <alignment horizontal="left" vertical="bottom"/>
    </xf>
    <xf numFmtId="0" fontId="15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bottom"/>
    </xf>
    <xf numFmtId="165" fontId="14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center" vertical="bottom"/>
    </xf>
    <xf numFmtId="0" fontId="17" fillId="3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/>
    </xf>
    <xf numFmtId="165" fontId="14" fillId="5" borderId="1" applyAlignment="1" pivotButton="0" quotePrefix="0" xfId="0">
      <alignment horizontal="center" vertical="bottom"/>
    </xf>
    <xf numFmtId="0" fontId="17" fillId="6" borderId="1" applyAlignment="1" pivotButton="0" quotePrefix="0" xfId="0">
      <alignment horizontal="center" vertical="bottom"/>
    </xf>
    <xf numFmtId="0" fontId="18" fillId="5" borderId="1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center"/>
    </xf>
    <xf numFmtId="0" fontId="9" fillId="3" borderId="1" applyAlignment="1" pivotButton="0" quotePrefix="0" xfId="0">
      <alignment horizontal="center" vertical="bottom"/>
    </xf>
    <xf numFmtId="0" fontId="20" fillId="0" borderId="1" applyAlignment="1" pivotButton="0" quotePrefix="0" xfId="0">
      <alignment horizontal="center" vertical="bottom"/>
    </xf>
    <xf numFmtId="0" fontId="20" fillId="5" borderId="1" applyAlignment="1" pivotButton="0" quotePrefix="0" xfId="0">
      <alignment horizontal="center" vertical="bottom"/>
    </xf>
    <xf numFmtId="0" fontId="11" fillId="2" borderId="1" applyAlignment="1" pivotButton="0" quotePrefix="0" xfId="0">
      <alignment horizontal="general" vertical="center"/>
    </xf>
    <xf numFmtId="0" fontId="11" fillId="2" borderId="1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center"/>
    </xf>
    <xf numFmtId="1" fontId="21" fillId="0" borderId="1" applyAlignment="1" pivotButton="0" quotePrefix="0" xfId="0">
      <alignment horizontal="general" vertical="bottom"/>
    </xf>
    <xf numFmtId="164" fontId="21" fillId="0" borderId="1" applyAlignment="1" pivotButton="0" quotePrefix="0" xfId="0">
      <alignment horizontal="general" vertical="bottom"/>
    </xf>
    <xf numFmtId="164" fontId="22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164" fontId="23" fillId="2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5" fillId="2" borderId="0" applyAlignment="1" pivotButton="0" quotePrefix="0" xfId="0">
      <alignment horizontal="general" vertical="center"/>
    </xf>
    <xf numFmtId="0" fontId="26" fillId="2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0" applyAlignment="1" pivotButton="0" quotePrefix="0" xfId="0">
      <alignment horizontal="general" vertical="center"/>
    </xf>
    <xf numFmtId="164" fontId="30" fillId="3" borderId="1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0" fontId="30" fillId="3" borderId="1" applyAlignment="1" pivotButton="0" quotePrefix="0" xfId="0">
      <alignment horizontal="general" vertical="center"/>
    </xf>
    <xf numFmtId="165" fontId="30" fillId="3" borderId="1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3" fillId="0" borderId="0" applyAlignment="1" pivotButton="0" quotePrefix="0" xfId="0">
      <alignment horizontal="general" vertical="center"/>
    </xf>
    <xf numFmtId="0" fontId="34" fillId="4" borderId="1" applyAlignment="1" pivotButton="0" quotePrefix="0" xfId="0">
      <alignment horizontal="center" vertical="bottom"/>
    </xf>
    <xf numFmtId="0" fontId="35" fillId="5" borderId="1" applyAlignment="1" pivotButton="0" quotePrefix="0" xfId="0">
      <alignment horizontal="center" vertical="bottom"/>
    </xf>
    <xf numFmtId="0" fontId="35" fillId="5" borderId="1" applyAlignment="1" pivotButton="0" quotePrefix="0" xfId="0">
      <alignment horizontal="left" vertical="bottom"/>
    </xf>
    <xf numFmtId="0" fontId="36" fillId="4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bottom"/>
    </xf>
    <xf numFmtId="165" fontId="35" fillId="0" borderId="1" applyAlignment="1" pivotButton="0" quotePrefix="0" xfId="0">
      <alignment horizontal="center" vertical="bottom"/>
    </xf>
    <xf numFmtId="0" fontId="35" fillId="0" borderId="1" applyAlignment="1" pivotButton="0" quotePrefix="0" xfId="0">
      <alignment horizontal="left" vertical="bottom"/>
    </xf>
    <xf numFmtId="0" fontId="35" fillId="0" borderId="1" applyAlignment="1" pivotButton="0" quotePrefix="0" xfId="0">
      <alignment horizontal="center" vertical="bottom"/>
    </xf>
    <xf numFmtId="0" fontId="38" fillId="3" borderId="1" applyAlignment="1" pivotButton="0" quotePrefix="0" xfId="0">
      <alignment horizontal="center" vertical="bottom"/>
    </xf>
    <xf numFmtId="0" fontId="39" fillId="0" borderId="1" applyAlignment="1" pivotButton="0" quotePrefix="0" xfId="0">
      <alignment horizontal="center" vertical="bottom"/>
    </xf>
    <xf numFmtId="165" fontId="35" fillId="5" borderId="1" applyAlignment="1" pivotButton="0" quotePrefix="0" xfId="0">
      <alignment horizontal="center" vertical="bottom"/>
    </xf>
    <xf numFmtId="0" fontId="38" fillId="6" borderId="1" applyAlignment="1" pivotButton="0" quotePrefix="0" xfId="0">
      <alignment horizontal="center" vertical="bottom"/>
    </xf>
    <xf numFmtId="0" fontId="39" fillId="5" borderId="1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center"/>
    </xf>
    <xf numFmtId="0" fontId="30" fillId="3" borderId="1" applyAlignment="1" pivotButton="0" quotePrefix="0" xfId="0">
      <alignment horizontal="center" vertical="bottom"/>
    </xf>
    <xf numFmtId="0" fontId="41" fillId="0" borderId="1" applyAlignment="1" pivotButton="0" quotePrefix="0" xfId="0">
      <alignment horizontal="center" vertical="bottom"/>
    </xf>
    <xf numFmtId="0" fontId="41" fillId="5" borderId="1" applyAlignment="1" pivotButton="0" quotePrefix="0" xfId="0">
      <alignment horizontal="center" vertical="bottom"/>
    </xf>
    <xf numFmtId="0" fontId="32" fillId="2" borderId="1" applyAlignment="1" pivotButton="0" quotePrefix="0" xfId="0">
      <alignment horizontal="general" vertical="center"/>
    </xf>
    <xf numFmtId="0" fontId="32" fillId="2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center"/>
    </xf>
    <xf numFmtId="1" fontId="42" fillId="0" borderId="1" applyAlignment="1" pivotButton="0" quotePrefix="0" xfId="0">
      <alignment horizontal="general" vertical="bottom"/>
    </xf>
    <xf numFmtId="164" fontId="42" fillId="0" borderId="1" applyAlignment="1" pivotButton="0" quotePrefix="0" xfId="0">
      <alignment horizontal="general" vertical="bottom"/>
    </xf>
    <xf numFmtId="164" fontId="43" fillId="2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center"/>
    </xf>
    <xf numFmtId="164" fontId="44" fillId="2" borderId="1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center"/>
    </xf>
    <xf numFmtId="0" fontId="43" fillId="0" borderId="0" applyAlignment="1" pivotButton="0" quotePrefix="0" xfId="0">
      <alignment horizontal="general" vertical="bottom"/>
    </xf>
    <xf numFmtId="0" fontId="42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D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6C69"/>
      <rgbColor rgb="FF9999FF"/>
      <rgbColor rgb="FF94505F"/>
      <rgbColor rgb="FFFFF6D9"/>
      <rgbColor rgb="FFFCF6F7"/>
      <rgbColor rgb="FF660066"/>
      <rgbColor rgb="FFFF8080"/>
      <rgbColor rgb="FF0066CC"/>
      <rgbColor rgb="FFE8CB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EF0"/>
      <rgbColor rgb="FFCCFFCC"/>
      <rgbColor rgb="FFFFF2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9B97"/>
      <rgbColor rgb="FF003366"/>
      <rgbColor rgb="FF339966"/>
      <rgbColor rgb="FF003300"/>
      <rgbColor rgb="FF333300"/>
      <rgbColor rgb="FF993300"/>
      <rgbColor rgb="FF993366"/>
      <rgbColor rgb="FF333399"/>
      <rgbColor rgb="FF453B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371160</colOff>
      <row>0</row>
      <rowOff>437760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7116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18720</colOff>
      <row>0</row>
      <rowOff>437760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7116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371160</colOff>
      <row>0</row>
      <rowOff>437760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7116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371160</colOff>
      <row>0</row>
      <rowOff>437760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71160" cy="437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0" min="1" max="1"/>
    <col width="24" customWidth="1" style="40" min="2" max="2"/>
    <col width="20" customWidth="1" style="40" min="3" max="6"/>
  </cols>
  <sheetData>
    <row r="1" ht="39.75" customHeight="1" s="41">
      <c r="A1" s="42" t="inlineStr">
        <is>
          <t xml:space="preserve">      Sweet Notes</t>
        </is>
      </c>
    </row>
    <row r="2" ht="18" customHeight="1" s="41">
      <c r="A2" s="43" t="inlineStr">
        <is>
          <t xml:space="preserve">      A Valentine’s event, built on kindness     |     The Pastoral Guide</t>
        </is>
      </c>
    </row>
    <row r="3"/>
    <row r="4" ht="16.15" customHeight="1" s="41">
      <c r="A4" s="44" t="inlineStr">
        <is>
          <t>Fill these in first</t>
        </is>
      </c>
    </row>
    <row r="5" ht="15" customHeight="1" s="41">
      <c r="A5" s="45" t="inlineStr">
        <is>
          <t>Every yellow cell in this workbook is one you fill in. Everything else works itself out.</t>
        </is>
      </c>
    </row>
    <row r="6"/>
    <row r="7" ht="18.75" customHeight="1" s="41">
      <c r="A7" s="46" t="inlineStr">
        <is>
          <t>Price per bag</t>
        </is>
      </c>
      <c r="B7" s="47" t="n">
        <v>1</v>
      </c>
      <c r="C7" s="48" t="inlineStr">
        <is>
          <t>The Money tab uses this to work out your takings.</t>
        </is>
      </c>
    </row>
    <row r="8" ht="18.75" customHeight="1" s="41">
      <c r="A8" s="46" t="inlineStr">
        <is>
          <t>The charity the money goes to</t>
        </is>
      </c>
      <c r="B8" s="49" t="n"/>
      <c r="C8" s="48" t="inlineStr">
        <is>
          <t>Say it out loud in the assembly. People give more when they know where it goes.</t>
        </is>
      </c>
    </row>
    <row r="9" ht="18.75" customHeight="1" s="41">
      <c r="A9" s="46" t="inlineStr">
        <is>
          <t>Who is running it</t>
        </is>
      </c>
      <c r="B9" s="49" t="n"/>
      <c r="C9" s="48" t="inlineStr">
        <is>
          <t>A student council, a form group, whoever is doing the work.</t>
        </is>
      </c>
    </row>
    <row r="10" ht="18.75" customHeight="1" s="41">
      <c r="A10" s="46" t="inlineStr">
        <is>
          <t>Stall opens</t>
        </is>
      </c>
      <c r="B10" s="50" t="n"/>
    </row>
    <row r="11" ht="18.75" customHeight="1" s="41">
      <c r="A11" s="46" t="inlineStr">
        <is>
          <t>Last orders</t>
        </is>
      </c>
      <c r="B11" s="50" t="n"/>
    </row>
    <row r="12" ht="18.75" customHeight="1" s="41">
      <c r="A12" s="46" t="inlineStr">
        <is>
          <t>Delivery morning</t>
        </is>
      </c>
      <c r="B12" s="50" t="n"/>
    </row>
    <row r="13"/>
    <row r="14"/>
    <row r="15" ht="16.15" customHeight="1" s="41">
      <c r="A15" s="44" t="inlineStr">
        <is>
          <t>How the tabs work</t>
        </is>
      </c>
    </row>
    <row r="16" ht="16.5" customHeight="1" s="41">
      <c r="A16" s="51" t="inlineStr">
        <is>
          <t>Orders</t>
        </is>
      </c>
      <c r="B16" s="52" t="inlineStr">
        <is>
          <t>One row per bag sold. Fill it in at the stall as each order is taken.</t>
        </is>
      </c>
    </row>
    <row r="17" ht="16.5" customHeight="1" s="41">
      <c r="A17" s="51" t="inlineStr">
        <is>
          <t>By form</t>
        </is>
      </c>
      <c r="B17" s="52" t="inlineStr">
        <is>
          <t>Type your form groups in column A. It counts and checks off the rest for you.</t>
        </is>
      </c>
    </row>
    <row r="18" ht="16.5" customHeight="1" s="41">
      <c r="A18" s="51" t="inlineStr">
        <is>
          <t>Money</t>
        </is>
      </c>
      <c r="B18" s="52" t="inlineStr">
        <is>
          <t>Takings, what you spent, and what is left for the charity.</t>
        </is>
      </c>
    </row>
    <row r="19"/>
    <row r="20"/>
    <row r="21" ht="16.15" customHeight="1" s="41">
      <c r="A21" s="44" t="inlineStr">
        <is>
          <t>What a filled-in order row looks like</t>
        </is>
      </c>
    </row>
    <row r="22" ht="15" customHeight="1" s="41">
      <c r="A22" s="48" t="inlineStr">
        <is>
          <t>An example, not a real order. Nothing here is counted anywhere.</t>
        </is>
      </c>
    </row>
    <row r="23" ht="15" customHeight="1" s="41">
      <c r="A23" s="53" t="inlineStr">
        <is>
          <t>#</t>
        </is>
      </c>
      <c r="B23" s="53" t="inlineStr">
        <is>
          <t>Date taken</t>
        </is>
      </c>
      <c r="C23" s="53" t="inlineStr">
        <is>
          <t>Who it is for</t>
        </is>
      </c>
      <c r="D23" s="53" t="inlineStr">
        <is>
          <t>Their form</t>
        </is>
      </c>
      <c r="E23" s="53" t="inlineStr">
        <is>
          <t>Sold by</t>
        </is>
      </c>
      <c r="F23" s="53" t="inlineStr">
        <is>
          <t>Paid</t>
        </is>
      </c>
    </row>
    <row r="24" ht="15" customHeight="1" s="41">
      <c r="A24" s="54" t="n">
        <v>1</v>
      </c>
      <c r="B24" s="54" t="inlineStr">
        <is>
          <t>14/01/2026</t>
        </is>
      </c>
      <c r="C24" s="55" t="inlineStr">
        <is>
          <t>Amelia Okafor</t>
        </is>
      </c>
      <c r="D24" s="54" t="inlineStr">
        <is>
          <t>9B</t>
        </is>
      </c>
      <c r="E24" s="54" t="inlineStr">
        <is>
          <t>Priya</t>
        </is>
      </c>
      <c r="F24" s="54" t="inlineStr">
        <is>
          <t>Yes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40" min="1" max="1"/>
    <col width="12" customWidth="1" style="40" min="2" max="2"/>
    <col width="24" customWidth="1" style="40" min="3" max="3"/>
    <col width="11" customWidth="1" style="40" min="4" max="4"/>
    <col width="13" customWidth="1" style="40" min="5" max="5"/>
    <col width="8" customWidth="1" style="40" min="6" max="6"/>
    <col width="12" customWidth="1" style="40" min="7" max="7"/>
    <col width="13" customWidth="1" style="40" min="8" max="8"/>
    <col width="11" customWidth="1" style="40" min="9" max="9"/>
    <col width="13" customWidth="1" style="40" min="10" max="10"/>
    <col width="11" customWidth="1" style="40" min="11" max="11"/>
  </cols>
  <sheetData>
    <row r="1" ht="39.75" customHeight="1" s="41">
      <c r="A1" s="42" t="inlineStr">
        <is>
          <t xml:space="preserve">      Orders</t>
        </is>
      </c>
    </row>
    <row r="2" ht="18" customHeight="1" s="41">
      <c r="A2" s="43" t="inlineStr">
        <is>
          <t xml:space="preserve">      One row per bag. Fill it in at the stall.     |     The Pastoral Guide</t>
        </is>
      </c>
    </row>
    <row r="3"/>
    <row r="4" ht="27.75" customHeight="1" s="41">
      <c r="A4" s="56" t="inlineStr">
        <is>
          <t>#</t>
        </is>
      </c>
      <c r="B4" s="56" t="inlineStr">
        <is>
          <t>Date taken</t>
        </is>
      </c>
      <c r="C4" s="56" t="inlineStr">
        <is>
          <t>Who it is for</t>
        </is>
      </c>
      <c r="D4" s="56" t="inlineStr">
        <is>
          <t>Their form</t>
        </is>
      </c>
      <c r="E4" s="56" t="inlineStr">
        <is>
          <t>Sold by</t>
        </is>
      </c>
      <c r="F4" s="56" t="inlineStr">
        <is>
          <t>Paid</t>
        </is>
      </c>
      <c r="G4" s="56" t="inlineStr">
        <is>
          <t>Note written</t>
        </is>
      </c>
      <c r="H4" s="56" t="inlineStr">
        <is>
          <t>Note checked</t>
        </is>
      </c>
      <c r="I4" s="56" t="inlineStr">
        <is>
          <t>Bag made</t>
        </is>
      </c>
      <c r="J4" s="56" t="inlineStr">
        <is>
          <t>Ready to go</t>
        </is>
      </c>
      <c r="K4" s="56" t="inlineStr">
        <is>
          <t>Delivered</t>
        </is>
      </c>
    </row>
    <row r="5" ht="16.5" customHeight="1" s="41">
      <c r="A5" s="57" t="n">
        <v>1</v>
      </c>
      <c r="B5" s="58" t="n"/>
      <c r="C5" s="59" t="n"/>
      <c r="D5" s="60" t="n"/>
      <c r="E5" s="60" t="n"/>
      <c r="F5" s="61" t="n"/>
      <c r="G5" s="61" t="n"/>
      <c r="H5" s="61" t="n"/>
      <c r="I5" s="61" t="n"/>
      <c r="J5" s="62">
        <f>IF(COUNTA(C5,D5)=0,"",IF(AND(F5="Yes",G5="Yes",H5="Yes",I5="Yes"),"Ready","Not yet"))</f>
        <v/>
      </c>
      <c r="K5" s="61" t="n"/>
    </row>
    <row r="6" ht="16.5" customHeight="1" s="41">
      <c r="A6" s="57" t="n">
        <v>2</v>
      </c>
      <c r="B6" s="63" t="n"/>
      <c r="C6" s="55" t="n"/>
      <c r="D6" s="54" t="n"/>
      <c r="E6" s="54" t="n"/>
      <c r="F6" s="64" t="n"/>
      <c r="G6" s="64" t="n"/>
      <c r="H6" s="64" t="n"/>
      <c r="I6" s="64" t="n"/>
      <c r="J6" s="65">
        <f>IF(COUNTA(C6,D6)=0,"",IF(AND(F6="Yes",G6="Yes",H6="Yes",I6="Yes"),"Ready","Not yet"))</f>
        <v/>
      </c>
      <c r="K6" s="64" t="n"/>
    </row>
    <row r="7" ht="16.5" customHeight="1" s="41">
      <c r="A7" s="57" t="n">
        <v>3</v>
      </c>
      <c r="B7" s="58" t="n"/>
      <c r="C7" s="59" t="n"/>
      <c r="D7" s="60" t="n"/>
      <c r="E7" s="60" t="n"/>
      <c r="F7" s="61" t="n"/>
      <c r="G7" s="61" t="n"/>
      <c r="H7" s="61" t="n"/>
      <c r="I7" s="61" t="n"/>
      <c r="J7" s="62">
        <f>IF(COUNTA(C7,D7)=0,"",IF(AND(F7="Yes",G7="Yes",H7="Yes",I7="Yes"),"Ready","Not yet"))</f>
        <v/>
      </c>
      <c r="K7" s="61" t="n"/>
    </row>
    <row r="8" ht="16.5" customHeight="1" s="41">
      <c r="A8" s="57" t="n">
        <v>4</v>
      </c>
      <c r="B8" s="63" t="n"/>
      <c r="C8" s="55" t="n"/>
      <c r="D8" s="54" t="n"/>
      <c r="E8" s="54" t="n"/>
      <c r="F8" s="64" t="n"/>
      <c r="G8" s="64" t="n"/>
      <c r="H8" s="64" t="n"/>
      <c r="I8" s="64" t="n"/>
      <c r="J8" s="65">
        <f>IF(COUNTA(C8,D8)=0,"",IF(AND(F8="Yes",G8="Yes",H8="Yes",I8="Yes"),"Ready","Not yet"))</f>
        <v/>
      </c>
      <c r="K8" s="64" t="n"/>
    </row>
    <row r="9" ht="16.5" customHeight="1" s="41">
      <c r="A9" s="57" t="n">
        <v>5</v>
      </c>
      <c r="B9" s="58" t="n"/>
      <c r="C9" s="59" t="n"/>
      <c r="D9" s="60" t="n"/>
      <c r="E9" s="60" t="n"/>
      <c r="F9" s="61" t="n"/>
      <c r="G9" s="61" t="n"/>
      <c r="H9" s="61" t="n"/>
      <c r="I9" s="61" t="n"/>
      <c r="J9" s="62">
        <f>IF(COUNTA(C9,D9)=0,"",IF(AND(F9="Yes",G9="Yes",H9="Yes",I9="Yes"),"Ready","Not yet"))</f>
        <v/>
      </c>
      <c r="K9" s="61" t="n"/>
    </row>
    <row r="10" ht="16.5" customHeight="1" s="41">
      <c r="A10" s="57" t="n">
        <v>6</v>
      </c>
      <c r="B10" s="63" t="n"/>
      <c r="C10" s="55" t="n"/>
      <c r="D10" s="54" t="n"/>
      <c r="E10" s="54" t="n"/>
      <c r="F10" s="64" t="n"/>
      <c r="G10" s="64" t="n"/>
      <c r="H10" s="64" t="n"/>
      <c r="I10" s="64" t="n"/>
      <c r="J10" s="65">
        <f>IF(COUNTA(C10,D10)=0,"",IF(AND(F10="Yes",G10="Yes",H10="Yes",I10="Yes"),"Ready","Not yet"))</f>
        <v/>
      </c>
      <c r="K10" s="64" t="n"/>
    </row>
    <row r="11" ht="16.5" customHeight="1" s="41">
      <c r="A11" s="57" t="n">
        <v>7</v>
      </c>
      <c r="B11" s="58" t="n"/>
      <c r="C11" s="59" t="n"/>
      <c r="D11" s="60" t="n"/>
      <c r="E11" s="60" t="n"/>
      <c r="F11" s="61" t="n"/>
      <c r="G11" s="61" t="n"/>
      <c r="H11" s="61" t="n"/>
      <c r="I11" s="61" t="n"/>
      <c r="J11" s="62">
        <f>IF(COUNTA(C11,D11)=0,"",IF(AND(F11="Yes",G11="Yes",H11="Yes",I11="Yes"),"Ready","Not yet"))</f>
        <v/>
      </c>
      <c r="K11" s="61" t="n"/>
    </row>
    <row r="12" ht="16.5" customHeight="1" s="41">
      <c r="A12" s="57" t="n">
        <v>8</v>
      </c>
      <c r="B12" s="63" t="n"/>
      <c r="C12" s="55" t="n"/>
      <c r="D12" s="54" t="n"/>
      <c r="E12" s="54" t="n"/>
      <c r="F12" s="64" t="n"/>
      <c r="G12" s="64" t="n"/>
      <c r="H12" s="64" t="n"/>
      <c r="I12" s="64" t="n"/>
      <c r="J12" s="65">
        <f>IF(COUNTA(C12,D12)=0,"",IF(AND(F12="Yes",G12="Yes",H12="Yes",I12="Yes"),"Ready","Not yet"))</f>
        <v/>
      </c>
      <c r="K12" s="64" t="n"/>
    </row>
    <row r="13" ht="16.5" customHeight="1" s="41">
      <c r="A13" s="57" t="n">
        <v>9</v>
      </c>
      <c r="B13" s="58" t="n"/>
      <c r="C13" s="59" t="n"/>
      <c r="D13" s="60" t="n"/>
      <c r="E13" s="60" t="n"/>
      <c r="F13" s="61" t="n"/>
      <c r="G13" s="61" t="n"/>
      <c r="H13" s="61" t="n"/>
      <c r="I13" s="61" t="n"/>
      <c r="J13" s="62">
        <f>IF(COUNTA(C13,D13)=0,"",IF(AND(F13="Yes",G13="Yes",H13="Yes",I13="Yes"),"Ready","Not yet"))</f>
        <v/>
      </c>
      <c r="K13" s="61" t="n"/>
    </row>
    <row r="14" ht="16.5" customHeight="1" s="41">
      <c r="A14" s="57" t="n">
        <v>10</v>
      </c>
      <c r="B14" s="63" t="n"/>
      <c r="C14" s="55" t="n"/>
      <c r="D14" s="54" t="n"/>
      <c r="E14" s="54" t="n"/>
      <c r="F14" s="64" t="n"/>
      <c r="G14" s="64" t="n"/>
      <c r="H14" s="64" t="n"/>
      <c r="I14" s="64" t="n"/>
      <c r="J14" s="65">
        <f>IF(COUNTA(C14,D14)=0,"",IF(AND(F14="Yes",G14="Yes",H14="Yes",I14="Yes"),"Ready","Not yet"))</f>
        <v/>
      </c>
      <c r="K14" s="64" t="n"/>
    </row>
    <row r="15" ht="16.5" customHeight="1" s="41">
      <c r="A15" s="57" t="n">
        <v>11</v>
      </c>
      <c r="B15" s="58" t="n"/>
      <c r="C15" s="59" t="n"/>
      <c r="D15" s="60" t="n"/>
      <c r="E15" s="60" t="n"/>
      <c r="F15" s="61" t="n"/>
      <c r="G15" s="61" t="n"/>
      <c r="H15" s="61" t="n"/>
      <c r="I15" s="61" t="n"/>
      <c r="J15" s="62">
        <f>IF(COUNTA(C15,D15)=0,"",IF(AND(F15="Yes",G15="Yes",H15="Yes",I15="Yes"),"Ready","Not yet"))</f>
        <v/>
      </c>
      <c r="K15" s="61" t="n"/>
    </row>
    <row r="16" ht="16.5" customHeight="1" s="41">
      <c r="A16" s="57" t="n">
        <v>12</v>
      </c>
      <c r="B16" s="63" t="n"/>
      <c r="C16" s="55" t="n"/>
      <c r="D16" s="54" t="n"/>
      <c r="E16" s="54" t="n"/>
      <c r="F16" s="64" t="n"/>
      <c r="G16" s="64" t="n"/>
      <c r="H16" s="64" t="n"/>
      <c r="I16" s="64" t="n"/>
      <c r="J16" s="65">
        <f>IF(COUNTA(C16,D16)=0,"",IF(AND(F16="Yes",G16="Yes",H16="Yes",I16="Yes"),"Ready","Not yet"))</f>
        <v/>
      </c>
      <c r="K16" s="64" t="n"/>
    </row>
    <row r="17" ht="16.5" customHeight="1" s="41">
      <c r="A17" s="57" t="n">
        <v>13</v>
      </c>
      <c r="B17" s="58" t="n"/>
      <c r="C17" s="59" t="n"/>
      <c r="D17" s="60" t="n"/>
      <c r="E17" s="60" t="n"/>
      <c r="F17" s="61" t="n"/>
      <c r="G17" s="61" t="n"/>
      <c r="H17" s="61" t="n"/>
      <c r="I17" s="61" t="n"/>
      <c r="J17" s="62">
        <f>IF(COUNTA(C17,D17)=0,"",IF(AND(F17="Yes",G17="Yes",H17="Yes",I17="Yes"),"Ready","Not yet"))</f>
        <v/>
      </c>
      <c r="K17" s="61" t="n"/>
    </row>
    <row r="18" ht="16.5" customHeight="1" s="41">
      <c r="A18" s="57" t="n">
        <v>14</v>
      </c>
      <c r="B18" s="63" t="n"/>
      <c r="C18" s="55" t="n"/>
      <c r="D18" s="54" t="n"/>
      <c r="E18" s="54" t="n"/>
      <c r="F18" s="64" t="n"/>
      <c r="G18" s="64" t="n"/>
      <c r="H18" s="64" t="n"/>
      <c r="I18" s="64" t="n"/>
      <c r="J18" s="65">
        <f>IF(COUNTA(C18,D18)=0,"",IF(AND(F18="Yes",G18="Yes",H18="Yes",I18="Yes"),"Ready","Not yet"))</f>
        <v/>
      </c>
      <c r="K18" s="64" t="n"/>
    </row>
    <row r="19" ht="16.5" customHeight="1" s="41">
      <c r="A19" s="57" t="n">
        <v>15</v>
      </c>
      <c r="B19" s="58" t="n"/>
      <c r="C19" s="59" t="n"/>
      <c r="D19" s="60" t="n"/>
      <c r="E19" s="60" t="n"/>
      <c r="F19" s="61" t="n"/>
      <c r="G19" s="61" t="n"/>
      <c r="H19" s="61" t="n"/>
      <c r="I19" s="61" t="n"/>
      <c r="J19" s="62">
        <f>IF(COUNTA(C19,D19)=0,"",IF(AND(F19="Yes",G19="Yes",H19="Yes",I19="Yes"),"Ready","Not yet"))</f>
        <v/>
      </c>
      <c r="K19" s="61" t="n"/>
    </row>
    <row r="20" ht="16.5" customHeight="1" s="41">
      <c r="A20" s="57" t="n">
        <v>16</v>
      </c>
      <c r="B20" s="63" t="n"/>
      <c r="C20" s="55" t="n"/>
      <c r="D20" s="54" t="n"/>
      <c r="E20" s="54" t="n"/>
      <c r="F20" s="64" t="n"/>
      <c r="G20" s="64" t="n"/>
      <c r="H20" s="64" t="n"/>
      <c r="I20" s="64" t="n"/>
      <c r="J20" s="65">
        <f>IF(COUNTA(C20,D20)=0,"",IF(AND(F20="Yes",G20="Yes",H20="Yes",I20="Yes"),"Ready","Not yet"))</f>
        <v/>
      </c>
      <c r="K20" s="64" t="n"/>
    </row>
    <row r="21" ht="16.5" customHeight="1" s="41">
      <c r="A21" s="57" t="n">
        <v>17</v>
      </c>
      <c r="B21" s="58" t="n"/>
      <c r="C21" s="59" t="n"/>
      <c r="D21" s="60" t="n"/>
      <c r="E21" s="60" t="n"/>
      <c r="F21" s="61" t="n"/>
      <c r="G21" s="61" t="n"/>
      <c r="H21" s="61" t="n"/>
      <c r="I21" s="61" t="n"/>
      <c r="J21" s="62">
        <f>IF(COUNTA(C21,D21)=0,"",IF(AND(F21="Yes",G21="Yes",H21="Yes",I21="Yes"),"Ready","Not yet"))</f>
        <v/>
      </c>
      <c r="K21" s="61" t="n"/>
    </row>
    <row r="22" ht="16.5" customHeight="1" s="41">
      <c r="A22" s="57" t="n">
        <v>18</v>
      </c>
      <c r="B22" s="63" t="n"/>
      <c r="C22" s="55" t="n"/>
      <c r="D22" s="54" t="n"/>
      <c r="E22" s="54" t="n"/>
      <c r="F22" s="64" t="n"/>
      <c r="G22" s="64" t="n"/>
      <c r="H22" s="64" t="n"/>
      <c r="I22" s="64" t="n"/>
      <c r="J22" s="65">
        <f>IF(COUNTA(C22,D22)=0,"",IF(AND(F22="Yes",G22="Yes",H22="Yes",I22="Yes"),"Ready","Not yet"))</f>
        <v/>
      </c>
      <c r="K22" s="64" t="n"/>
    </row>
    <row r="23" ht="16.5" customHeight="1" s="41">
      <c r="A23" s="57" t="n">
        <v>19</v>
      </c>
      <c r="B23" s="58" t="n"/>
      <c r="C23" s="59" t="n"/>
      <c r="D23" s="60" t="n"/>
      <c r="E23" s="60" t="n"/>
      <c r="F23" s="61" t="n"/>
      <c r="G23" s="61" t="n"/>
      <c r="H23" s="61" t="n"/>
      <c r="I23" s="61" t="n"/>
      <c r="J23" s="62">
        <f>IF(COUNTA(C23,D23)=0,"",IF(AND(F23="Yes",G23="Yes",H23="Yes",I23="Yes"),"Ready","Not yet"))</f>
        <v/>
      </c>
      <c r="K23" s="61" t="n"/>
    </row>
    <row r="24" ht="16.5" customHeight="1" s="41">
      <c r="A24" s="57" t="n">
        <v>20</v>
      </c>
      <c r="B24" s="63" t="n"/>
      <c r="C24" s="55" t="n"/>
      <c r="D24" s="54" t="n"/>
      <c r="E24" s="54" t="n"/>
      <c r="F24" s="64" t="n"/>
      <c r="G24" s="64" t="n"/>
      <c r="H24" s="64" t="n"/>
      <c r="I24" s="64" t="n"/>
      <c r="J24" s="65">
        <f>IF(COUNTA(C24,D24)=0,"",IF(AND(F24="Yes",G24="Yes",H24="Yes",I24="Yes"),"Ready","Not yet"))</f>
        <v/>
      </c>
      <c r="K24" s="64" t="n"/>
    </row>
    <row r="25" ht="16.5" customHeight="1" s="41">
      <c r="A25" s="57" t="n">
        <v>21</v>
      </c>
      <c r="B25" s="58" t="n"/>
      <c r="C25" s="59" t="n"/>
      <c r="D25" s="60" t="n"/>
      <c r="E25" s="60" t="n"/>
      <c r="F25" s="61" t="n"/>
      <c r="G25" s="61" t="n"/>
      <c r="H25" s="61" t="n"/>
      <c r="I25" s="61" t="n"/>
      <c r="J25" s="62">
        <f>IF(COUNTA(C25,D25)=0,"",IF(AND(F25="Yes",G25="Yes",H25="Yes",I25="Yes"),"Ready","Not yet"))</f>
        <v/>
      </c>
      <c r="K25" s="61" t="n"/>
    </row>
    <row r="26" ht="16.5" customHeight="1" s="41">
      <c r="A26" s="57" t="n">
        <v>22</v>
      </c>
      <c r="B26" s="63" t="n"/>
      <c r="C26" s="55" t="n"/>
      <c r="D26" s="54" t="n"/>
      <c r="E26" s="54" t="n"/>
      <c r="F26" s="64" t="n"/>
      <c r="G26" s="64" t="n"/>
      <c r="H26" s="64" t="n"/>
      <c r="I26" s="64" t="n"/>
      <c r="J26" s="65">
        <f>IF(COUNTA(C26,D26)=0,"",IF(AND(F26="Yes",G26="Yes",H26="Yes",I26="Yes"),"Ready","Not yet"))</f>
        <v/>
      </c>
      <c r="K26" s="64" t="n"/>
    </row>
    <row r="27" ht="16.5" customHeight="1" s="41">
      <c r="A27" s="57" t="n">
        <v>23</v>
      </c>
      <c r="B27" s="58" t="n"/>
      <c r="C27" s="59" t="n"/>
      <c r="D27" s="60" t="n"/>
      <c r="E27" s="60" t="n"/>
      <c r="F27" s="61" t="n"/>
      <c r="G27" s="61" t="n"/>
      <c r="H27" s="61" t="n"/>
      <c r="I27" s="61" t="n"/>
      <c r="J27" s="62">
        <f>IF(COUNTA(C27,D27)=0,"",IF(AND(F27="Yes",G27="Yes",H27="Yes",I27="Yes"),"Ready","Not yet"))</f>
        <v/>
      </c>
      <c r="K27" s="61" t="n"/>
    </row>
    <row r="28" ht="16.5" customHeight="1" s="41">
      <c r="A28" s="57" t="n">
        <v>24</v>
      </c>
      <c r="B28" s="63" t="n"/>
      <c r="C28" s="55" t="n"/>
      <c r="D28" s="54" t="n"/>
      <c r="E28" s="54" t="n"/>
      <c r="F28" s="64" t="n"/>
      <c r="G28" s="64" t="n"/>
      <c r="H28" s="64" t="n"/>
      <c r="I28" s="64" t="n"/>
      <c r="J28" s="65">
        <f>IF(COUNTA(C28,D28)=0,"",IF(AND(F28="Yes",G28="Yes",H28="Yes",I28="Yes"),"Ready","Not yet"))</f>
        <v/>
      </c>
      <c r="K28" s="64" t="n"/>
    </row>
    <row r="29" ht="16.5" customHeight="1" s="41">
      <c r="A29" s="57" t="n">
        <v>25</v>
      </c>
      <c r="B29" s="58" t="n"/>
      <c r="C29" s="59" t="n"/>
      <c r="D29" s="60" t="n"/>
      <c r="E29" s="60" t="n"/>
      <c r="F29" s="61" t="n"/>
      <c r="G29" s="61" t="n"/>
      <c r="H29" s="61" t="n"/>
      <c r="I29" s="61" t="n"/>
      <c r="J29" s="62">
        <f>IF(COUNTA(C29,D29)=0,"",IF(AND(F29="Yes",G29="Yes",H29="Yes",I29="Yes"),"Ready","Not yet"))</f>
        <v/>
      </c>
      <c r="K29" s="61" t="n"/>
    </row>
    <row r="30" ht="16.5" customHeight="1" s="41">
      <c r="A30" s="57" t="n">
        <v>26</v>
      </c>
      <c r="B30" s="63" t="n"/>
      <c r="C30" s="55" t="n"/>
      <c r="D30" s="54" t="n"/>
      <c r="E30" s="54" t="n"/>
      <c r="F30" s="64" t="n"/>
      <c r="G30" s="64" t="n"/>
      <c r="H30" s="64" t="n"/>
      <c r="I30" s="64" t="n"/>
      <c r="J30" s="65">
        <f>IF(COUNTA(C30,D30)=0,"",IF(AND(F30="Yes",G30="Yes",H30="Yes",I30="Yes"),"Ready","Not yet"))</f>
        <v/>
      </c>
      <c r="K30" s="64" t="n"/>
    </row>
    <row r="31" ht="16.5" customHeight="1" s="41">
      <c r="A31" s="57" t="n">
        <v>27</v>
      </c>
      <c r="B31" s="58" t="n"/>
      <c r="C31" s="59" t="n"/>
      <c r="D31" s="60" t="n"/>
      <c r="E31" s="60" t="n"/>
      <c r="F31" s="61" t="n"/>
      <c r="G31" s="61" t="n"/>
      <c r="H31" s="61" t="n"/>
      <c r="I31" s="61" t="n"/>
      <c r="J31" s="62">
        <f>IF(COUNTA(C31,D31)=0,"",IF(AND(F31="Yes",G31="Yes",H31="Yes",I31="Yes"),"Ready","Not yet"))</f>
        <v/>
      </c>
      <c r="K31" s="61" t="n"/>
    </row>
    <row r="32" ht="16.5" customHeight="1" s="41">
      <c r="A32" s="57" t="n">
        <v>28</v>
      </c>
      <c r="B32" s="63" t="n"/>
      <c r="C32" s="55" t="n"/>
      <c r="D32" s="54" t="n"/>
      <c r="E32" s="54" t="n"/>
      <c r="F32" s="64" t="n"/>
      <c r="G32" s="64" t="n"/>
      <c r="H32" s="64" t="n"/>
      <c r="I32" s="64" t="n"/>
      <c r="J32" s="65">
        <f>IF(COUNTA(C32,D32)=0,"",IF(AND(F32="Yes",G32="Yes",H32="Yes",I32="Yes"),"Ready","Not yet"))</f>
        <v/>
      </c>
      <c r="K32" s="64" t="n"/>
    </row>
    <row r="33" ht="16.5" customHeight="1" s="41">
      <c r="A33" s="57" t="n">
        <v>29</v>
      </c>
      <c r="B33" s="58" t="n"/>
      <c r="C33" s="59" t="n"/>
      <c r="D33" s="60" t="n"/>
      <c r="E33" s="60" t="n"/>
      <c r="F33" s="61" t="n"/>
      <c r="G33" s="61" t="n"/>
      <c r="H33" s="61" t="n"/>
      <c r="I33" s="61" t="n"/>
      <c r="J33" s="62">
        <f>IF(COUNTA(C33,D33)=0,"",IF(AND(F33="Yes",G33="Yes",H33="Yes",I33="Yes"),"Ready","Not yet"))</f>
        <v/>
      </c>
      <c r="K33" s="61" t="n"/>
    </row>
    <row r="34" ht="16.5" customHeight="1" s="41">
      <c r="A34" s="57" t="n">
        <v>30</v>
      </c>
      <c r="B34" s="63" t="n"/>
      <c r="C34" s="55" t="n"/>
      <c r="D34" s="54" t="n"/>
      <c r="E34" s="54" t="n"/>
      <c r="F34" s="64" t="n"/>
      <c r="G34" s="64" t="n"/>
      <c r="H34" s="64" t="n"/>
      <c r="I34" s="64" t="n"/>
      <c r="J34" s="65">
        <f>IF(COUNTA(C34,D34)=0,"",IF(AND(F34="Yes",G34="Yes",H34="Yes",I34="Yes"),"Ready","Not yet"))</f>
        <v/>
      </c>
      <c r="K34" s="64" t="n"/>
    </row>
    <row r="35" ht="16.5" customHeight="1" s="41">
      <c r="A35" s="57" t="n">
        <v>31</v>
      </c>
      <c r="B35" s="58" t="n"/>
      <c r="C35" s="59" t="n"/>
      <c r="D35" s="60" t="n"/>
      <c r="E35" s="60" t="n"/>
      <c r="F35" s="61" t="n"/>
      <c r="G35" s="61" t="n"/>
      <c r="H35" s="61" t="n"/>
      <c r="I35" s="61" t="n"/>
      <c r="J35" s="62">
        <f>IF(COUNTA(C35,D35)=0,"",IF(AND(F35="Yes",G35="Yes",H35="Yes",I35="Yes"),"Ready","Not yet"))</f>
        <v/>
      </c>
      <c r="K35" s="61" t="n"/>
    </row>
    <row r="36" ht="16.5" customHeight="1" s="41">
      <c r="A36" s="57" t="n">
        <v>32</v>
      </c>
      <c r="B36" s="63" t="n"/>
      <c r="C36" s="55" t="n"/>
      <c r="D36" s="54" t="n"/>
      <c r="E36" s="54" t="n"/>
      <c r="F36" s="64" t="n"/>
      <c r="G36" s="64" t="n"/>
      <c r="H36" s="64" t="n"/>
      <c r="I36" s="64" t="n"/>
      <c r="J36" s="65">
        <f>IF(COUNTA(C36,D36)=0,"",IF(AND(F36="Yes",G36="Yes",H36="Yes",I36="Yes"),"Ready","Not yet"))</f>
        <v/>
      </c>
      <c r="K36" s="64" t="n"/>
    </row>
    <row r="37" ht="16.5" customHeight="1" s="41">
      <c r="A37" s="57" t="n">
        <v>33</v>
      </c>
      <c r="B37" s="58" t="n"/>
      <c r="C37" s="59" t="n"/>
      <c r="D37" s="60" t="n"/>
      <c r="E37" s="60" t="n"/>
      <c r="F37" s="61" t="n"/>
      <c r="G37" s="61" t="n"/>
      <c r="H37" s="61" t="n"/>
      <c r="I37" s="61" t="n"/>
      <c r="J37" s="62">
        <f>IF(COUNTA(C37,D37)=0,"",IF(AND(F37="Yes",G37="Yes",H37="Yes",I37="Yes"),"Ready","Not yet"))</f>
        <v/>
      </c>
      <c r="K37" s="61" t="n"/>
    </row>
    <row r="38" ht="16.5" customHeight="1" s="41">
      <c r="A38" s="57" t="n">
        <v>34</v>
      </c>
      <c r="B38" s="63" t="n"/>
      <c r="C38" s="55" t="n"/>
      <c r="D38" s="54" t="n"/>
      <c r="E38" s="54" t="n"/>
      <c r="F38" s="64" t="n"/>
      <c r="G38" s="64" t="n"/>
      <c r="H38" s="64" t="n"/>
      <c r="I38" s="64" t="n"/>
      <c r="J38" s="65">
        <f>IF(COUNTA(C38,D38)=0,"",IF(AND(F38="Yes",G38="Yes",H38="Yes",I38="Yes"),"Ready","Not yet"))</f>
        <v/>
      </c>
      <c r="K38" s="64" t="n"/>
    </row>
    <row r="39" ht="16.5" customHeight="1" s="41">
      <c r="A39" s="57" t="n">
        <v>35</v>
      </c>
      <c r="B39" s="58" t="n"/>
      <c r="C39" s="59" t="n"/>
      <c r="D39" s="60" t="n"/>
      <c r="E39" s="60" t="n"/>
      <c r="F39" s="61" t="n"/>
      <c r="G39" s="61" t="n"/>
      <c r="H39" s="61" t="n"/>
      <c r="I39" s="61" t="n"/>
      <c r="J39" s="62">
        <f>IF(COUNTA(C39,D39)=0,"",IF(AND(F39="Yes",G39="Yes",H39="Yes",I39="Yes"),"Ready","Not yet"))</f>
        <v/>
      </c>
      <c r="K39" s="61" t="n"/>
    </row>
    <row r="40" ht="16.5" customHeight="1" s="41">
      <c r="A40" s="57" t="n">
        <v>36</v>
      </c>
      <c r="B40" s="63" t="n"/>
      <c r="C40" s="55" t="n"/>
      <c r="D40" s="54" t="n"/>
      <c r="E40" s="54" t="n"/>
      <c r="F40" s="64" t="n"/>
      <c r="G40" s="64" t="n"/>
      <c r="H40" s="64" t="n"/>
      <c r="I40" s="64" t="n"/>
      <c r="J40" s="65">
        <f>IF(COUNTA(C40,D40)=0,"",IF(AND(F40="Yes",G40="Yes",H40="Yes",I40="Yes"),"Ready","Not yet"))</f>
        <v/>
      </c>
      <c r="K40" s="64" t="n"/>
    </row>
    <row r="41" ht="16.5" customHeight="1" s="41">
      <c r="A41" s="57" t="n">
        <v>37</v>
      </c>
      <c r="B41" s="58" t="n"/>
      <c r="C41" s="59" t="n"/>
      <c r="D41" s="60" t="n"/>
      <c r="E41" s="60" t="n"/>
      <c r="F41" s="61" t="n"/>
      <c r="G41" s="61" t="n"/>
      <c r="H41" s="61" t="n"/>
      <c r="I41" s="61" t="n"/>
      <c r="J41" s="62">
        <f>IF(COUNTA(C41,D41)=0,"",IF(AND(F41="Yes",G41="Yes",H41="Yes",I41="Yes"),"Ready","Not yet"))</f>
        <v/>
      </c>
      <c r="K41" s="61" t="n"/>
    </row>
    <row r="42" ht="16.5" customHeight="1" s="41">
      <c r="A42" s="57" t="n">
        <v>38</v>
      </c>
      <c r="B42" s="63" t="n"/>
      <c r="C42" s="55" t="n"/>
      <c r="D42" s="54" t="n"/>
      <c r="E42" s="54" t="n"/>
      <c r="F42" s="64" t="n"/>
      <c r="G42" s="64" t="n"/>
      <c r="H42" s="64" t="n"/>
      <c r="I42" s="64" t="n"/>
      <c r="J42" s="65">
        <f>IF(COUNTA(C42,D42)=0,"",IF(AND(F42="Yes",G42="Yes",H42="Yes",I42="Yes"),"Ready","Not yet"))</f>
        <v/>
      </c>
      <c r="K42" s="64" t="n"/>
    </row>
    <row r="43" ht="16.5" customHeight="1" s="41">
      <c r="A43" s="57" t="n">
        <v>39</v>
      </c>
      <c r="B43" s="58" t="n"/>
      <c r="C43" s="59" t="n"/>
      <c r="D43" s="60" t="n"/>
      <c r="E43" s="60" t="n"/>
      <c r="F43" s="61" t="n"/>
      <c r="G43" s="61" t="n"/>
      <c r="H43" s="61" t="n"/>
      <c r="I43" s="61" t="n"/>
      <c r="J43" s="62">
        <f>IF(COUNTA(C43,D43)=0,"",IF(AND(F43="Yes",G43="Yes",H43="Yes",I43="Yes"),"Ready","Not yet"))</f>
        <v/>
      </c>
      <c r="K43" s="61" t="n"/>
    </row>
    <row r="44" ht="16.5" customHeight="1" s="41">
      <c r="A44" s="57" t="n">
        <v>40</v>
      </c>
      <c r="B44" s="63" t="n"/>
      <c r="C44" s="55" t="n"/>
      <c r="D44" s="54" t="n"/>
      <c r="E44" s="54" t="n"/>
      <c r="F44" s="64" t="n"/>
      <c r="G44" s="64" t="n"/>
      <c r="H44" s="64" t="n"/>
      <c r="I44" s="64" t="n"/>
      <c r="J44" s="65">
        <f>IF(COUNTA(C44,D44)=0,"",IF(AND(F44="Yes",G44="Yes",H44="Yes",I44="Yes"),"Ready","Not yet"))</f>
        <v/>
      </c>
      <c r="K44" s="64" t="n"/>
    </row>
    <row r="45" ht="16.5" customHeight="1" s="41">
      <c r="A45" s="57" t="n">
        <v>41</v>
      </c>
      <c r="B45" s="58" t="n"/>
      <c r="C45" s="59" t="n"/>
      <c r="D45" s="60" t="n"/>
      <c r="E45" s="60" t="n"/>
      <c r="F45" s="61" t="n"/>
      <c r="G45" s="61" t="n"/>
      <c r="H45" s="61" t="n"/>
      <c r="I45" s="61" t="n"/>
      <c r="J45" s="62">
        <f>IF(COUNTA(C45,D45)=0,"",IF(AND(F45="Yes",G45="Yes",H45="Yes",I45="Yes"),"Ready","Not yet"))</f>
        <v/>
      </c>
      <c r="K45" s="61" t="n"/>
    </row>
    <row r="46" ht="16.5" customHeight="1" s="41">
      <c r="A46" s="57" t="n">
        <v>42</v>
      </c>
      <c r="B46" s="63" t="n"/>
      <c r="C46" s="55" t="n"/>
      <c r="D46" s="54" t="n"/>
      <c r="E46" s="54" t="n"/>
      <c r="F46" s="64" t="n"/>
      <c r="G46" s="64" t="n"/>
      <c r="H46" s="64" t="n"/>
      <c r="I46" s="64" t="n"/>
      <c r="J46" s="65">
        <f>IF(COUNTA(C46,D46)=0,"",IF(AND(F46="Yes",G46="Yes",H46="Yes",I46="Yes"),"Ready","Not yet"))</f>
        <v/>
      </c>
      <c r="K46" s="64" t="n"/>
    </row>
    <row r="47" ht="16.5" customHeight="1" s="41">
      <c r="A47" s="57" t="n">
        <v>43</v>
      </c>
      <c r="B47" s="58" t="n"/>
      <c r="C47" s="59" t="n"/>
      <c r="D47" s="60" t="n"/>
      <c r="E47" s="60" t="n"/>
      <c r="F47" s="61" t="n"/>
      <c r="G47" s="61" t="n"/>
      <c r="H47" s="61" t="n"/>
      <c r="I47" s="61" t="n"/>
      <c r="J47" s="62">
        <f>IF(COUNTA(C47,D47)=0,"",IF(AND(F47="Yes",G47="Yes",H47="Yes",I47="Yes"),"Ready","Not yet"))</f>
        <v/>
      </c>
      <c r="K47" s="61" t="n"/>
    </row>
    <row r="48" ht="16.5" customHeight="1" s="41">
      <c r="A48" s="57" t="n">
        <v>44</v>
      </c>
      <c r="B48" s="63" t="n"/>
      <c r="C48" s="55" t="n"/>
      <c r="D48" s="54" t="n"/>
      <c r="E48" s="54" t="n"/>
      <c r="F48" s="64" t="n"/>
      <c r="G48" s="64" t="n"/>
      <c r="H48" s="64" t="n"/>
      <c r="I48" s="64" t="n"/>
      <c r="J48" s="65">
        <f>IF(COUNTA(C48,D48)=0,"",IF(AND(F48="Yes",G48="Yes",H48="Yes",I48="Yes"),"Ready","Not yet"))</f>
        <v/>
      </c>
      <c r="K48" s="64" t="n"/>
    </row>
    <row r="49" ht="16.5" customHeight="1" s="41">
      <c r="A49" s="57" t="n">
        <v>45</v>
      </c>
      <c r="B49" s="58" t="n"/>
      <c r="C49" s="59" t="n"/>
      <c r="D49" s="60" t="n"/>
      <c r="E49" s="60" t="n"/>
      <c r="F49" s="61" t="n"/>
      <c r="G49" s="61" t="n"/>
      <c r="H49" s="61" t="n"/>
      <c r="I49" s="61" t="n"/>
      <c r="J49" s="62">
        <f>IF(COUNTA(C49,D49)=0,"",IF(AND(F49="Yes",G49="Yes",H49="Yes",I49="Yes"),"Ready","Not yet"))</f>
        <v/>
      </c>
      <c r="K49" s="61" t="n"/>
    </row>
    <row r="50" ht="16.5" customHeight="1" s="41">
      <c r="A50" s="57" t="n">
        <v>46</v>
      </c>
      <c r="B50" s="63" t="n"/>
      <c r="C50" s="55" t="n"/>
      <c r="D50" s="54" t="n"/>
      <c r="E50" s="54" t="n"/>
      <c r="F50" s="64" t="n"/>
      <c r="G50" s="64" t="n"/>
      <c r="H50" s="64" t="n"/>
      <c r="I50" s="64" t="n"/>
      <c r="J50" s="65">
        <f>IF(COUNTA(C50,D50)=0,"",IF(AND(F50="Yes",G50="Yes",H50="Yes",I50="Yes"),"Ready","Not yet"))</f>
        <v/>
      </c>
      <c r="K50" s="64" t="n"/>
    </row>
    <row r="51" ht="16.5" customHeight="1" s="41">
      <c r="A51" s="57" t="n">
        <v>47</v>
      </c>
      <c r="B51" s="58" t="n"/>
      <c r="C51" s="59" t="n"/>
      <c r="D51" s="60" t="n"/>
      <c r="E51" s="60" t="n"/>
      <c r="F51" s="61" t="n"/>
      <c r="G51" s="61" t="n"/>
      <c r="H51" s="61" t="n"/>
      <c r="I51" s="61" t="n"/>
      <c r="J51" s="62">
        <f>IF(COUNTA(C51,D51)=0,"",IF(AND(F51="Yes",G51="Yes",H51="Yes",I51="Yes"),"Ready","Not yet"))</f>
        <v/>
      </c>
      <c r="K51" s="61" t="n"/>
    </row>
    <row r="52" ht="16.5" customHeight="1" s="41">
      <c r="A52" s="57" t="n">
        <v>48</v>
      </c>
      <c r="B52" s="63" t="n"/>
      <c r="C52" s="55" t="n"/>
      <c r="D52" s="54" t="n"/>
      <c r="E52" s="54" t="n"/>
      <c r="F52" s="64" t="n"/>
      <c r="G52" s="64" t="n"/>
      <c r="H52" s="64" t="n"/>
      <c r="I52" s="64" t="n"/>
      <c r="J52" s="65">
        <f>IF(COUNTA(C52,D52)=0,"",IF(AND(F52="Yes",G52="Yes",H52="Yes",I52="Yes"),"Ready","Not yet"))</f>
        <v/>
      </c>
      <c r="K52" s="64" t="n"/>
    </row>
    <row r="53" ht="16.5" customHeight="1" s="41">
      <c r="A53" s="57" t="n">
        <v>49</v>
      </c>
      <c r="B53" s="58" t="n"/>
      <c r="C53" s="59" t="n"/>
      <c r="D53" s="60" t="n"/>
      <c r="E53" s="60" t="n"/>
      <c r="F53" s="61" t="n"/>
      <c r="G53" s="61" t="n"/>
      <c r="H53" s="61" t="n"/>
      <c r="I53" s="61" t="n"/>
      <c r="J53" s="62">
        <f>IF(COUNTA(C53,D53)=0,"",IF(AND(F53="Yes",G53="Yes",H53="Yes",I53="Yes"),"Ready","Not yet"))</f>
        <v/>
      </c>
      <c r="K53" s="61" t="n"/>
    </row>
    <row r="54" ht="16.5" customHeight="1" s="41">
      <c r="A54" s="57" t="n">
        <v>50</v>
      </c>
      <c r="B54" s="63" t="n"/>
      <c r="C54" s="55" t="n"/>
      <c r="D54" s="54" t="n"/>
      <c r="E54" s="54" t="n"/>
      <c r="F54" s="64" t="n"/>
      <c r="G54" s="64" t="n"/>
      <c r="H54" s="64" t="n"/>
      <c r="I54" s="64" t="n"/>
      <c r="J54" s="65">
        <f>IF(COUNTA(C54,D54)=0,"",IF(AND(F54="Yes",G54="Yes",H54="Yes",I54="Yes"),"Ready","Not yet"))</f>
        <v/>
      </c>
      <c r="K54" s="64" t="n"/>
    </row>
    <row r="55" ht="16.5" customHeight="1" s="41">
      <c r="A55" s="57" t="n">
        <v>51</v>
      </c>
      <c r="B55" s="58" t="n"/>
      <c r="C55" s="59" t="n"/>
      <c r="D55" s="60" t="n"/>
      <c r="E55" s="60" t="n"/>
      <c r="F55" s="61" t="n"/>
      <c r="G55" s="61" t="n"/>
      <c r="H55" s="61" t="n"/>
      <c r="I55" s="61" t="n"/>
      <c r="J55" s="62">
        <f>IF(COUNTA(C55,D55)=0,"",IF(AND(F55="Yes",G55="Yes",H55="Yes",I55="Yes"),"Ready","Not yet"))</f>
        <v/>
      </c>
      <c r="K55" s="61" t="n"/>
    </row>
    <row r="56" ht="16.5" customHeight="1" s="41">
      <c r="A56" s="57" t="n">
        <v>52</v>
      </c>
      <c r="B56" s="63" t="n"/>
      <c r="C56" s="55" t="n"/>
      <c r="D56" s="54" t="n"/>
      <c r="E56" s="54" t="n"/>
      <c r="F56" s="64" t="n"/>
      <c r="G56" s="64" t="n"/>
      <c r="H56" s="64" t="n"/>
      <c r="I56" s="64" t="n"/>
      <c r="J56" s="65">
        <f>IF(COUNTA(C56,D56)=0,"",IF(AND(F56="Yes",G56="Yes",H56="Yes",I56="Yes"),"Ready","Not yet"))</f>
        <v/>
      </c>
      <c r="K56" s="64" t="n"/>
    </row>
    <row r="57" ht="16.5" customHeight="1" s="41">
      <c r="A57" s="57" t="n">
        <v>53</v>
      </c>
      <c r="B57" s="58" t="n"/>
      <c r="C57" s="59" t="n"/>
      <c r="D57" s="60" t="n"/>
      <c r="E57" s="60" t="n"/>
      <c r="F57" s="61" t="n"/>
      <c r="G57" s="61" t="n"/>
      <c r="H57" s="61" t="n"/>
      <c r="I57" s="61" t="n"/>
      <c r="J57" s="62">
        <f>IF(COUNTA(C57,D57)=0,"",IF(AND(F57="Yes",G57="Yes",H57="Yes",I57="Yes"),"Ready","Not yet"))</f>
        <v/>
      </c>
      <c r="K57" s="61" t="n"/>
    </row>
    <row r="58" ht="16.5" customHeight="1" s="41">
      <c r="A58" s="57" t="n">
        <v>54</v>
      </c>
      <c r="B58" s="63" t="n"/>
      <c r="C58" s="55" t="n"/>
      <c r="D58" s="54" t="n"/>
      <c r="E58" s="54" t="n"/>
      <c r="F58" s="64" t="n"/>
      <c r="G58" s="64" t="n"/>
      <c r="H58" s="64" t="n"/>
      <c r="I58" s="64" t="n"/>
      <c r="J58" s="65">
        <f>IF(COUNTA(C58,D58)=0,"",IF(AND(F58="Yes",G58="Yes",H58="Yes",I58="Yes"),"Ready","Not yet"))</f>
        <v/>
      </c>
      <c r="K58" s="64" t="n"/>
    </row>
    <row r="59" ht="16.5" customHeight="1" s="41">
      <c r="A59" s="57" t="n">
        <v>55</v>
      </c>
      <c r="B59" s="58" t="n"/>
      <c r="C59" s="59" t="n"/>
      <c r="D59" s="60" t="n"/>
      <c r="E59" s="60" t="n"/>
      <c r="F59" s="61" t="n"/>
      <c r="G59" s="61" t="n"/>
      <c r="H59" s="61" t="n"/>
      <c r="I59" s="61" t="n"/>
      <c r="J59" s="62">
        <f>IF(COUNTA(C59,D59)=0,"",IF(AND(F59="Yes",G59="Yes",H59="Yes",I59="Yes"),"Ready","Not yet"))</f>
        <v/>
      </c>
      <c r="K59" s="61" t="n"/>
    </row>
    <row r="60" ht="16.5" customHeight="1" s="41">
      <c r="A60" s="57" t="n">
        <v>56</v>
      </c>
      <c r="B60" s="63" t="n"/>
      <c r="C60" s="55" t="n"/>
      <c r="D60" s="54" t="n"/>
      <c r="E60" s="54" t="n"/>
      <c r="F60" s="64" t="n"/>
      <c r="G60" s="64" t="n"/>
      <c r="H60" s="64" t="n"/>
      <c r="I60" s="64" t="n"/>
      <c r="J60" s="65">
        <f>IF(COUNTA(C60,D60)=0,"",IF(AND(F60="Yes",G60="Yes",H60="Yes",I60="Yes"),"Ready","Not yet"))</f>
        <v/>
      </c>
      <c r="K60" s="64" t="n"/>
    </row>
    <row r="61" ht="16.5" customHeight="1" s="41">
      <c r="A61" s="57" t="n">
        <v>57</v>
      </c>
      <c r="B61" s="58" t="n"/>
      <c r="C61" s="59" t="n"/>
      <c r="D61" s="60" t="n"/>
      <c r="E61" s="60" t="n"/>
      <c r="F61" s="61" t="n"/>
      <c r="G61" s="61" t="n"/>
      <c r="H61" s="61" t="n"/>
      <c r="I61" s="61" t="n"/>
      <c r="J61" s="62">
        <f>IF(COUNTA(C61,D61)=0,"",IF(AND(F61="Yes",G61="Yes",H61="Yes",I61="Yes"),"Ready","Not yet"))</f>
        <v/>
      </c>
      <c r="K61" s="61" t="n"/>
    </row>
    <row r="62" ht="16.5" customHeight="1" s="41">
      <c r="A62" s="57" t="n">
        <v>58</v>
      </c>
      <c r="B62" s="63" t="n"/>
      <c r="C62" s="55" t="n"/>
      <c r="D62" s="54" t="n"/>
      <c r="E62" s="54" t="n"/>
      <c r="F62" s="64" t="n"/>
      <c r="G62" s="64" t="n"/>
      <c r="H62" s="64" t="n"/>
      <c r="I62" s="64" t="n"/>
      <c r="J62" s="65">
        <f>IF(COUNTA(C62,D62)=0,"",IF(AND(F62="Yes",G62="Yes",H62="Yes",I62="Yes"),"Ready","Not yet"))</f>
        <v/>
      </c>
      <c r="K62" s="64" t="n"/>
    </row>
    <row r="63" ht="16.5" customHeight="1" s="41">
      <c r="A63" s="57" t="n">
        <v>59</v>
      </c>
      <c r="B63" s="58" t="n"/>
      <c r="C63" s="59" t="n"/>
      <c r="D63" s="60" t="n"/>
      <c r="E63" s="60" t="n"/>
      <c r="F63" s="61" t="n"/>
      <c r="G63" s="61" t="n"/>
      <c r="H63" s="61" t="n"/>
      <c r="I63" s="61" t="n"/>
      <c r="J63" s="62">
        <f>IF(COUNTA(C63,D63)=0,"",IF(AND(F63="Yes",G63="Yes",H63="Yes",I63="Yes"),"Ready","Not yet"))</f>
        <v/>
      </c>
      <c r="K63" s="61" t="n"/>
    </row>
    <row r="64" ht="16.5" customHeight="1" s="41">
      <c r="A64" s="57" t="n">
        <v>60</v>
      </c>
      <c r="B64" s="63" t="n"/>
      <c r="C64" s="55" t="n"/>
      <c r="D64" s="54" t="n"/>
      <c r="E64" s="54" t="n"/>
      <c r="F64" s="64" t="n"/>
      <c r="G64" s="64" t="n"/>
      <c r="H64" s="64" t="n"/>
      <c r="I64" s="64" t="n"/>
      <c r="J64" s="65">
        <f>IF(COUNTA(C64,D64)=0,"",IF(AND(F64="Yes",G64="Yes",H64="Yes",I64="Yes"),"Ready","Not yet"))</f>
        <v/>
      </c>
      <c r="K64" s="64" t="n"/>
    </row>
    <row r="65" ht="16.5" customHeight="1" s="41">
      <c r="A65" s="57" t="n">
        <v>61</v>
      </c>
      <c r="B65" s="58" t="n"/>
      <c r="C65" s="59" t="n"/>
      <c r="D65" s="60" t="n"/>
      <c r="E65" s="60" t="n"/>
      <c r="F65" s="61" t="n"/>
      <c r="G65" s="61" t="n"/>
      <c r="H65" s="61" t="n"/>
      <c r="I65" s="61" t="n"/>
      <c r="J65" s="62">
        <f>IF(COUNTA(C65,D65)=0,"",IF(AND(F65="Yes",G65="Yes",H65="Yes",I65="Yes"),"Ready","Not yet"))</f>
        <v/>
      </c>
      <c r="K65" s="61" t="n"/>
    </row>
    <row r="66" ht="16.5" customHeight="1" s="41">
      <c r="A66" s="57" t="n">
        <v>62</v>
      </c>
      <c r="B66" s="63" t="n"/>
      <c r="C66" s="55" t="n"/>
      <c r="D66" s="54" t="n"/>
      <c r="E66" s="54" t="n"/>
      <c r="F66" s="64" t="n"/>
      <c r="G66" s="64" t="n"/>
      <c r="H66" s="64" t="n"/>
      <c r="I66" s="64" t="n"/>
      <c r="J66" s="65">
        <f>IF(COUNTA(C66,D66)=0,"",IF(AND(F66="Yes",G66="Yes",H66="Yes",I66="Yes"),"Ready","Not yet"))</f>
        <v/>
      </c>
      <c r="K66" s="64" t="n"/>
    </row>
    <row r="67" ht="16.5" customHeight="1" s="41">
      <c r="A67" s="57" t="n">
        <v>63</v>
      </c>
      <c r="B67" s="58" t="n"/>
      <c r="C67" s="59" t="n"/>
      <c r="D67" s="60" t="n"/>
      <c r="E67" s="60" t="n"/>
      <c r="F67" s="61" t="n"/>
      <c r="G67" s="61" t="n"/>
      <c r="H67" s="61" t="n"/>
      <c r="I67" s="61" t="n"/>
      <c r="J67" s="62">
        <f>IF(COUNTA(C67,D67)=0,"",IF(AND(F67="Yes",G67="Yes",H67="Yes",I67="Yes"),"Ready","Not yet"))</f>
        <v/>
      </c>
      <c r="K67" s="61" t="n"/>
    </row>
    <row r="68" ht="16.5" customHeight="1" s="41">
      <c r="A68" s="57" t="n">
        <v>64</v>
      </c>
      <c r="B68" s="63" t="n"/>
      <c r="C68" s="55" t="n"/>
      <c r="D68" s="54" t="n"/>
      <c r="E68" s="54" t="n"/>
      <c r="F68" s="64" t="n"/>
      <c r="G68" s="64" t="n"/>
      <c r="H68" s="64" t="n"/>
      <c r="I68" s="64" t="n"/>
      <c r="J68" s="65">
        <f>IF(COUNTA(C68,D68)=0,"",IF(AND(F68="Yes",G68="Yes",H68="Yes",I68="Yes"),"Ready","Not yet"))</f>
        <v/>
      </c>
      <c r="K68" s="64" t="n"/>
    </row>
    <row r="69" ht="16.5" customHeight="1" s="41">
      <c r="A69" s="57" t="n">
        <v>65</v>
      </c>
      <c r="B69" s="58" t="n"/>
      <c r="C69" s="59" t="n"/>
      <c r="D69" s="60" t="n"/>
      <c r="E69" s="60" t="n"/>
      <c r="F69" s="61" t="n"/>
      <c r="G69" s="61" t="n"/>
      <c r="H69" s="61" t="n"/>
      <c r="I69" s="61" t="n"/>
      <c r="J69" s="62">
        <f>IF(COUNTA(C69,D69)=0,"",IF(AND(F69="Yes",G69="Yes",H69="Yes",I69="Yes"),"Ready","Not yet"))</f>
        <v/>
      </c>
      <c r="K69" s="61" t="n"/>
    </row>
    <row r="70" ht="16.5" customHeight="1" s="41">
      <c r="A70" s="57" t="n">
        <v>66</v>
      </c>
      <c r="B70" s="63" t="n"/>
      <c r="C70" s="55" t="n"/>
      <c r="D70" s="54" t="n"/>
      <c r="E70" s="54" t="n"/>
      <c r="F70" s="64" t="n"/>
      <c r="G70" s="64" t="n"/>
      <c r="H70" s="64" t="n"/>
      <c r="I70" s="64" t="n"/>
      <c r="J70" s="65">
        <f>IF(COUNTA(C70,D70)=0,"",IF(AND(F70="Yes",G70="Yes",H70="Yes",I70="Yes"),"Ready","Not yet"))</f>
        <v/>
      </c>
      <c r="K70" s="64" t="n"/>
    </row>
    <row r="71" ht="16.5" customHeight="1" s="41">
      <c r="A71" s="57" t="n">
        <v>67</v>
      </c>
      <c r="B71" s="58" t="n"/>
      <c r="C71" s="59" t="n"/>
      <c r="D71" s="60" t="n"/>
      <c r="E71" s="60" t="n"/>
      <c r="F71" s="61" t="n"/>
      <c r="G71" s="61" t="n"/>
      <c r="H71" s="61" t="n"/>
      <c r="I71" s="61" t="n"/>
      <c r="J71" s="62">
        <f>IF(COUNTA(C71,D71)=0,"",IF(AND(F71="Yes",G71="Yes",H71="Yes",I71="Yes"),"Ready","Not yet"))</f>
        <v/>
      </c>
      <c r="K71" s="61" t="n"/>
    </row>
    <row r="72" ht="16.5" customHeight="1" s="41">
      <c r="A72" s="57" t="n">
        <v>68</v>
      </c>
      <c r="B72" s="63" t="n"/>
      <c r="C72" s="55" t="n"/>
      <c r="D72" s="54" t="n"/>
      <c r="E72" s="54" t="n"/>
      <c r="F72" s="64" t="n"/>
      <c r="G72" s="64" t="n"/>
      <c r="H72" s="64" t="n"/>
      <c r="I72" s="64" t="n"/>
      <c r="J72" s="65">
        <f>IF(COUNTA(C72,D72)=0,"",IF(AND(F72="Yes",G72="Yes",H72="Yes",I72="Yes"),"Ready","Not yet"))</f>
        <v/>
      </c>
      <c r="K72" s="64" t="n"/>
    </row>
    <row r="73" ht="16.5" customHeight="1" s="41">
      <c r="A73" s="57" t="n">
        <v>69</v>
      </c>
      <c r="B73" s="58" t="n"/>
      <c r="C73" s="59" t="n"/>
      <c r="D73" s="60" t="n"/>
      <c r="E73" s="60" t="n"/>
      <c r="F73" s="61" t="n"/>
      <c r="G73" s="61" t="n"/>
      <c r="H73" s="61" t="n"/>
      <c r="I73" s="61" t="n"/>
      <c r="J73" s="62">
        <f>IF(COUNTA(C73,D73)=0,"",IF(AND(F73="Yes",G73="Yes",H73="Yes",I73="Yes"),"Ready","Not yet"))</f>
        <v/>
      </c>
      <c r="K73" s="61" t="n"/>
    </row>
    <row r="74" ht="16.5" customHeight="1" s="41">
      <c r="A74" s="57" t="n">
        <v>70</v>
      </c>
      <c r="B74" s="63" t="n"/>
      <c r="C74" s="55" t="n"/>
      <c r="D74" s="54" t="n"/>
      <c r="E74" s="54" t="n"/>
      <c r="F74" s="64" t="n"/>
      <c r="G74" s="64" t="n"/>
      <c r="H74" s="64" t="n"/>
      <c r="I74" s="64" t="n"/>
      <c r="J74" s="65">
        <f>IF(COUNTA(C74,D74)=0,"",IF(AND(F74="Yes",G74="Yes",H74="Yes",I74="Yes"),"Ready","Not yet"))</f>
        <v/>
      </c>
      <c r="K74" s="64" t="n"/>
    </row>
    <row r="75" ht="16.5" customHeight="1" s="41">
      <c r="A75" s="57" t="n">
        <v>71</v>
      </c>
      <c r="B75" s="58" t="n"/>
      <c r="C75" s="59" t="n"/>
      <c r="D75" s="60" t="n"/>
      <c r="E75" s="60" t="n"/>
      <c r="F75" s="61" t="n"/>
      <c r="G75" s="61" t="n"/>
      <c r="H75" s="61" t="n"/>
      <c r="I75" s="61" t="n"/>
      <c r="J75" s="62">
        <f>IF(COUNTA(C75,D75)=0,"",IF(AND(F75="Yes",G75="Yes",H75="Yes",I75="Yes"),"Ready","Not yet"))</f>
        <v/>
      </c>
      <c r="K75" s="61" t="n"/>
    </row>
    <row r="76" ht="16.5" customHeight="1" s="41">
      <c r="A76" s="57" t="n">
        <v>72</v>
      </c>
      <c r="B76" s="63" t="n"/>
      <c r="C76" s="55" t="n"/>
      <c r="D76" s="54" t="n"/>
      <c r="E76" s="54" t="n"/>
      <c r="F76" s="64" t="n"/>
      <c r="G76" s="64" t="n"/>
      <c r="H76" s="64" t="n"/>
      <c r="I76" s="64" t="n"/>
      <c r="J76" s="65">
        <f>IF(COUNTA(C76,D76)=0,"",IF(AND(F76="Yes",G76="Yes",H76="Yes",I76="Yes"),"Ready","Not yet"))</f>
        <v/>
      </c>
      <c r="K76" s="64" t="n"/>
    </row>
    <row r="77" ht="16.5" customHeight="1" s="41">
      <c r="A77" s="57" t="n">
        <v>73</v>
      </c>
      <c r="B77" s="58" t="n"/>
      <c r="C77" s="59" t="n"/>
      <c r="D77" s="60" t="n"/>
      <c r="E77" s="60" t="n"/>
      <c r="F77" s="61" t="n"/>
      <c r="G77" s="61" t="n"/>
      <c r="H77" s="61" t="n"/>
      <c r="I77" s="61" t="n"/>
      <c r="J77" s="62">
        <f>IF(COUNTA(C77,D77)=0,"",IF(AND(F77="Yes",G77="Yes",H77="Yes",I77="Yes"),"Ready","Not yet"))</f>
        <v/>
      </c>
      <c r="K77" s="61" t="n"/>
    </row>
    <row r="78" ht="16.5" customHeight="1" s="41">
      <c r="A78" s="57" t="n">
        <v>74</v>
      </c>
      <c r="B78" s="63" t="n"/>
      <c r="C78" s="55" t="n"/>
      <c r="D78" s="54" t="n"/>
      <c r="E78" s="54" t="n"/>
      <c r="F78" s="64" t="n"/>
      <c r="G78" s="64" t="n"/>
      <c r="H78" s="64" t="n"/>
      <c r="I78" s="64" t="n"/>
      <c r="J78" s="65">
        <f>IF(COUNTA(C78,D78)=0,"",IF(AND(F78="Yes",G78="Yes",H78="Yes",I78="Yes"),"Ready","Not yet"))</f>
        <v/>
      </c>
      <c r="K78" s="64" t="n"/>
    </row>
    <row r="79" ht="16.5" customHeight="1" s="41">
      <c r="A79" s="57" t="n">
        <v>75</v>
      </c>
      <c r="B79" s="58" t="n"/>
      <c r="C79" s="59" t="n"/>
      <c r="D79" s="60" t="n"/>
      <c r="E79" s="60" t="n"/>
      <c r="F79" s="61" t="n"/>
      <c r="G79" s="61" t="n"/>
      <c r="H79" s="61" t="n"/>
      <c r="I79" s="61" t="n"/>
      <c r="J79" s="62">
        <f>IF(COUNTA(C79,D79)=0,"",IF(AND(F79="Yes",G79="Yes",H79="Yes",I79="Yes"),"Ready","Not yet"))</f>
        <v/>
      </c>
      <c r="K79" s="61" t="n"/>
    </row>
    <row r="80" ht="16.5" customHeight="1" s="41">
      <c r="A80" s="57" t="n">
        <v>76</v>
      </c>
      <c r="B80" s="63" t="n"/>
      <c r="C80" s="55" t="n"/>
      <c r="D80" s="54" t="n"/>
      <c r="E80" s="54" t="n"/>
      <c r="F80" s="64" t="n"/>
      <c r="G80" s="64" t="n"/>
      <c r="H80" s="64" t="n"/>
      <c r="I80" s="64" t="n"/>
      <c r="J80" s="65">
        <f>IF(COUNTA(C80,D80)=0,"",IF(AND(F80="Yes",G80="Yes",H80="Yes",I80="Yes"),"Ready","Not yet"))</f>
        <v/>
      </c>
      <c r="K80" s="64" t="n"/>
    </row>
    <row r="81" ht="16.5" customHeight="1" s="41">
      <c r="A81" s="57" t="n">
        <v>77</v>
      </c>
      <c r="B81" s="58" t="n"/>
      <c r="C81" s="59" t="n"/>
      <c r="D81" s="60" t="n"/>
      <c r="E81" s="60" t="n"/>
      <c r="F81" s="61" t="n"/>
      <c r="G81" s="61" t="n"/>
      <c r="H81" s="61" t="n"/>
      <c r="I81" s="61" t="n"/>
      <c r="J81" s="62">
        <f>IF(COUNTA(C81,D81)=0,"",IF(AND(F81="Yes",G81="Yes",H81="Yes",I81="Yes"),"Ready","Not yet"))</f>
        <v/>
      </c>
      <c r="K81" s="61" t="n"/>
    </row>
    <row r="82" ht="16.5" customHeight="1" s="41">
      <c r="A82" s="57" t="n">
        <v>78</v>
      </c>
      <c r="B82" s="63" t="n"/>
      <c r="C82" s="55" t="n"/>
      <c r="D82" s="54" t="n"/>
      <c r="E82" s="54" t="n"/>
      <c r="F82" s="64" t="n"/>
      <c r="G82" s="64" t="n"/>
      <c r="H82" s="64" t="n"/>
      <c r="I82" s="64" t="n"/>
      <c r="J82" s="65">
        <f>IF(COUNTA(C82,D82)=0,"",IF(AND(F82="Yes",G82="Yes",H82="Yes",I82="Yes"),"Ready","Not yet"))</f>
        <v/>
      </c>
      <c r="K82" s="64" t="n"/>
    </row>
    <row r="83" ht="16.5" customHeight="1" s="41">
      <c r="A83" s="57" t="n">
        <v>79</v>
      </c>
      <c r="B83" s="58" t="n"/>
      <c r="C83" s="59" t="n"/>
      <c r="D83" s="60" t="n"/>
      <c r="E83" s="60" t="n"/>
      <c r="F83" s="61" t="n"/>
      <c r="G83" s="61" t="n"/>
      <c r="H83" s="61" t="n"/>
      <c r="I83" s="61" t="n"/>
      <c r="J83" s="62">
        <f>IF(COUNTA(C83,D83)=0,"",IF(AND(F83="Yes",G83="Yes",H83="Yes",I83="Yes"),"Ready","Not yet"))</f>
        <v/>
      </c>
      <c r="K83" s="61" t="n"/>
    </row>
    <row r="84" ht="16.5" customHeight="1" s="41">
      <c r="A84" s="57" t="n">
        <v>80</v>
      </c>
      <c r="B84" s="63" t="n"/>
      <c r="C84" s="55" t="n"/>
      <c r="D84" s="54" t="n"/>
      <c r="E84" s="54" t="n"/>
      <c r="F84" s="64" t="n"/>
      <c r="G84" s="64" t="n"/>
      <c r="H84" s="64" t="n"/>
      <c r="I84" s="64" t="n"/>
      <c r="J84" s="65">
        <f>IF(COUNTA(C84,D84)=0,"",IF(AND(F84="Yes",G84="Yes",H84="Yes",I84="Yes"),"Ready","Not yet"))</f>
        <v/>
      </c>
      <c r="K84" s="64" t="n"/>
    </row>
    <row r="85"/>
    <row r="86"/>
    <row r="87" ht="15" customHeight="1" s="41">
      <c r="A87" s="66" t="inlineStr">
        <is>
          <t>“Note checked” means an adult has read that note. Nothing is delivered with that column blank.</t>
        </is>
      </c>
    </row>
  </sheetData>
  <mergeCells count="2">
    <mergeCell ref="A2:K2"/>
    <mergeCell ref="A1:K1"/>
  </mergeCells>
  <dataValidations count="1">
    <dataValidation sqref="F5:I84 K5:K84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0" min="1" max="1"/>
    <col width="10" customWidth="1" style="40" min="2" max="2"/>
    <col width="15" customWidth="1" style="40" min="3" max="3"/>
    <col width="14" customWidth="1" style="40" min="4" max="4"/>
    <col width="12" customWidth="1" style="40" min="5" max="5"/>
    <col width="15" customWidth="1" style="40" min="6" max="6"/>
  </cols>
  <sheetData>
    <row r="1" ht="39.75" customHeight="1" s="41">
      <c r="A1" s="42" t="inlineStr">
        <is>
          <t xml:space="preserve">      By form</t>
        </is>
      </c>
    </row>
    <row r="2" ht="18" customHeight="1" s="41">
      <c r="A2" s="43" t="inlineStr">
        <is>
          <t xml:space="preserve">      Type your form groups in column A. The rest counts itself.     |     The Pastoral Guide</t>
        </is>
      </c>
    </row>
    <row r="3"/>
    <row r="4" ht="27.75" customHeight="1" s="41">
      <c r="A4" s="56" t="inlineStr">
        <is>
          <t>Form</t>
        </is>
      </c>
      <c r="B4" s="56" t="inlineStr">
        <is>
          <t>Bags</t>
        </is>
      </c>
      <c r="C4" s="56" t="inlineStr">
        <is>
          <t>Notes checked</t>
        </is>
      </c>
      <c r="D4" s="56" t="inlineStr">
        <is>
          <t>Still to check</t>
        </is>
      </c>
      <c r="E4" s="56" t="inlineStr">
        <is>
          <t>Delivered</t>
        </is>
      </c>
      <c r="F4" s="56" t="inlineStr">
        <is>
          <t>Still to deliver</t>
        </is>
      </c>
    </row>
    <row r="5" ht="18" customHeight="1" s="41">
      <c r="A5" s="67" t="n"/>
      <c r="B5" s="68">
        <f>IF($A5="","",COUNTIF(Orders!$D:$D,$A5))</f>
        <v/>
      </c>
      <c r="C5" s="68">
        <f>IF($A5="","",COUNTIFS(Orders!$D:$D,$A5,Orders!$H:$H,"Yes"))</f>
        <v/>
      </c>
      <c r="D5" s="68">
        <f>IF($A5="","",B5-C5)</f>
        <v/>
      </c>
      <c r="E5" s="68">
        <f>IF($A5="","",COUNTIFS(Orders!$D:$D,$A5,Orders!$K:$K,"Yes"))</f>
        <v/>
      </c>
      <c r="F5" s="68">
        <f>IF($A5="","",B5-E5)</f>
        <v/>
      </c>
    </row>
    <row r="6" ht="18" customHeight="1" s="41">
      <c r="A6" s="67" t="n"/>
      <c r="B6" s="69">
        <f>IF($A6="","",COUNTIF(Orders!$D:$D,$A6))</f>
        <v/>
      </c>
      <c r="C6" s="69">
        <f>IF($A6="","",COUNTIFS(Orders!$D:$D,$A6,Orders!$H:$H,"Yes"))</f>
        <v/>
      </c>
      <c r="D6" s="69">
        <f>IF($A6="","",B6-C6)</f>
        <v/>
      </c>
      <c r="E6" s="69">
        <f>IF($A6="","",COUNTIFS(Orders!$D:$D,$A6,Orders!$K:$K,"Yes"))</f>
        <v/>
      </c>
      <c r="F6" s="69">
        <f>IF($A6="","",B6-E6)</f>
        <v/>
      </c>
    </row>
    <row r="7" ht="18" customHeight="1" s="41">
      <c r="A7" s="67" t="n"/>
      <c r="B7" s="68">
        <f>IF($A7="","",COUNTIF(Orders!$D:$D,$A7))</f>
        <v/>
      </c>
      <c r="C7" s="68">
        <f>IF($A7="","",COUNTIFS(Orders!$D:$D,$A7,Orders!$H:$H,"Yes"))</f>
        <v/>
      </c>
      <c r="D7" s="68">
        <f>IF($A7="","",B7-C7)</f>
        <v/>
      </c>
      <c r="E7" s="68">
        <f>IF($A7="","",COUNTIFS(Orders!$D:$D,$A7,Orders!$K:$K,"Yes"))</f>
        <v/>
      </c>
      <c r="F7" s="68">
        <f>IF($A7="","",B7-E7)</f>
        <v/>
      </c>
    </row>
    <row r="8" ht="18" customHeight="1" s="41">
      <c r="A8" s="67" t="n"/>
      <c r="B8" s="69">
        <f>IF($A8="","",COUNTIF(Orders!$D:$D,$A8))</f>
        <v/>
      </c>
      <c r="C8" s="69">
        <f>IF($A8="","",COUNTIFS(Orders!$D:$D,$A8,Orders!$H:$H,"Yes"))</f>
        <v/>
      </c>
      <c r="D8" s="69">
        <f>IF($A8="","",B8-C8)</f>
        <v/>
      </c>
      <c r="E8" s="69">
        <f>IF($A8="","",COUNTIFS(Orders!$D:$D,$A8,Orders!$K:$K,"Yes"))</f>
        <v/>
      </c>
      <c r="F8" s="69">
        <f>IF($A8="","",B8-E8)</f>
        <v/>
      </c>
    </row>
    <row r="9" ht="18" customHeight="1" s="41">
      <c r="A9" s="67" t="n"/>
      <c r="B9" s="68">
        <f>IF($A9="","",COUNTIF(Orders!$D:$D,$A9))</f>
        <v/>
      </c>
      <c r="C9" s="68">
        <f>IF($A9="","",COUNTIFS(Orders!$D:$D,$A9,Orders!$H:$H,"Yes"))</f>
        <v/>
      </c>
      <c r="D9" s="68">
        <f>IF($A9="","",B9-C9)</f>
        <v/>
      </c>
      <c r="E9" s="68">
        <f>IF($A9="","",COUNTIFS(Orders!$D:$D,$A9,Orders!$K:$K,"Yes"))</f>
        <v/>
      </c>
      <c r="F9" s="68">
        <f>IF($A9="","",B9-E9)</f>
        <v/>
      </c>
    </row>
    <row r="10" ht="18" customHeight="1" s="41">
      <c r="A10" s="67" t="n"/>
      <c r="B10" s="69">
        <f>IF($A10="","",COUNTIF(Orders!$D:$D,$A10))</f>
        <v/>
      </c>
      <c r="C10" s="69">
        <f>IF($A10="","",COUNTIFS(Orders!$D:$D,$A10,Orders!$H:$H,"Yes"))</f>
        <v/>
      </c>
      <c r="D10" s="69">
        <f>IF($A10="","",B10-C10)</f>
        <v/>
      </c>
      <c r="E10" s="69">
        <f>IF($A10="","",COUNTIFS(Orders!$D:$D,$A10,Orders!$K:$K,"Yes"))</f>
        <v/>
      </c>
      <c r="F10" s="69">
        <f>IF($A10="","",B10-E10)</f>
        <v/>
      </c>
    </row>
    <row r="11" ht="18" customHeight="1" s="41">
      <c r="A11" s="67" t="n"/>
      <c r="B11" s="68">
        <f>IF($A11="","",COUNTIF(Orders!$D:$D,$A11))</f>
        <v/>
      </c>
      <c r="C11" s="68">
        <f>IF($A11="","",COUNTIFS(Orders!$D:$D,$A11,Orders!$H:$H,"Yes"))</f>
        <v/>
      </c>
      <c r="D11" s="68">
        <f>IF($A11="","",B11-C11)</f>
        <v/>
      </c>
      <c r="E11" s="68">
        <f>IF($A11="","",COUNTIFS(Orders!$D:$D,$A11,Orders!$K:$K,"Yes"))</f>
        <v/>
      </c>
      <c r="F11" s="68">
        <f>IF($A11="","",B11-E11)</f>
        <v/>
      </c>
    </row>
    <row r="12" ht="18" customHeight="1" s="41">
      <c r="A12" s="67" t="n"/>
      <c r="B12" s="69">
        <f>IF($A12="","",COUNTIF(Orders!$D:$D,$A12))</f>
        <v/>
      </c>
      <c r="C12" s="69">
        <f>IF($A12="","",COUNTIFS(Orders!$D:$D,$A12,Orders!$H:$H,"Yes"))</f>
        <v/>
      </c>
      <c r="D12" s="69">
        <f>IF($A12="","",B12-C12)</f>
        <v/>
      </c>
      <c r="E12" s="69">
        <f>IF($A12="","",COUNTIFS(Orders!$D:$D,$A12,Orders!$K:$K,"Yes"))</f>
        <v/>
      </c>
      <c r="F12" s="69">
        <f>IF($A12="","",B12-E12)</f>
        <v/>
      </c>
    </row>
    <row r="13" ht="18" customHeight="1" s="41">
      <c r="A13" s="67" t="n"/>
      <c r="B13" s="68">
        <f>IF($A13="","",COUNTIF(Orders!$D:$D,$A13))</f>
        <v/>
      </c>
      <c r="C13" s="68">
        <f>IF($A13="","",COUNTIFS(Orders!$D:$D,$A13,Orders!$H:$H,"Yes"))</f>
        <v/>
      </c>
      <c r="D13" s="68">
        <f>IF($A13="","",B13-C13)</f>
        <v/>
      </c>
      <c r="E13" s="68">
        <f>IF($A13="","",COUNTIFS(Orders!$D:$D,$A13,Orders!$K:$K,"Yes"))</f>
        <v/>
      </c>
      <c r="F13" s="68">
        <f>IF($A13="","",B13-E13)</f>
        <v/>
      </c>
    </row>
    <row r="14" ht="18" customHeight="1" s="41">
      <c r="A14" s="67" t="n"/>
      <c r="B14" s="69">
        <f>IF($A14="","",COUNTIF(Orders!$D:$D,$A14))</f>
        <v/>
      </c>
      <c r="C14" s="69">
        <f>IF($A14="","",COUNTIFS(Orders!$D:$D,$A14,Orders!$H:$H,"Yes"))</f>
        <v/>
      </c>
      <c r="D14" s="69">
        <f>IF($A14="","",B14-C14)</f>
        <v/>
      </c>
      <c r="E14" s="69">
        <f>IF($A14="","",COUNTIFS(Orders!$D:$D,$A14,Orders!$K:$K,"Yes"))</f>
        <v/>
      </c>
      <c r="F14" s="69">
        <f>IF($A14="","",B14-E14)</f>
        <v/>
      </c>
    </row>
    <row r="15" ht="18" customHeight="1" s="41">
      <c r="A15" s="67" t="n"/>
      <c r="B15" s="68">
        <f>IF($A15="","",COUNTIF(Orders!$D:$D,$A15))</f>
        <v/>
      </c>
      <c r="C15" s="68">
        <f>IF($A15="","",COUNTIFS(Orders!$D:$D,$A15,Orders!$H:$H,"Yes"))</f>
        <v/>
      </c>
      <c r="D15" s="68">
        <f>IF($A15="","",B15-C15)</f>
        <v/>
      </c>
      <c r="E15" s="68">
        <f>IF($A15="","",COUNTIFS(Orders!$D:$D,$A15,Orders!$K:$K,"Yes"))</f>
        <v/>
      </c>
      <c r="F15" s="68">
        <f>IF($A15="","",B15-E15)</f>
        <v/>
      </c>
    </row>
    <row r="16" ht="18" customHeight="1" s="41">
      <c r="A16" s="67" t="n"/>
      <c r="B16" s="69">
        <f>IF($A16="","",COUNTIF(Orders!$D:$D,$A16))</f>
        <v/>
      </c>
      <c r="C16" s="69">
        <f>IF($A16="","",COUNTIFS(Orders!$D:$D,$A16,Orders!$H:$H,"Yes"))</f>
        <v/>
      </c>
      <c r="D16" s="69">
        <f>IF($A16="","",B16-C16)</f>
        <v/>
      </c>
      <c r="E16" s="69">
        <f>IF($A16="","",COUNTIFS(Orders!$D:$D,$A16,Orders!$K:$K,"Yes"))</f>
        <v/>
      </c>
      <c r="F16" s="69">
        <f>IF($A16="","",B16-E16)</f>
        <v/>
      </c>
    </row>
    <row r="17" ht="18" customHeight="1" s="41">
      <c r="A17" s="67" t="n"/>
      <c r="B17" s="68">
        <f>IF($A17="","",COUNTIF(Orders!$D:$D,$A17))</f>
        <v/>
      </c>
      <c r="C17" s="68">
        <f>IF($A17="","",COUNTIFS(Orders!$D:$D,$A17,Orders!$H:$H,"Yes"))</f>
        <v/>
      </c>
      <c r="D17" s="68">
        <f>IF($A17="","",B17-C17)</f>
        <v/>
      </c>
      <c r="E17" s="68">
        <f>IF($A17="","",COUNTIFS(Orders!$D:$D,$A17,Orders!$K:$K,"Yes"))</f>
        <v/>
      </c>
      <c r="F17" s="68">
        <f>IF($A17="","",B17-E17)</f>
        <v/>
      </c>
    </row>
    <row r="18" ht="18" customHeight="1" s="41">
      <c r="A18" s="67" t="n"/>
      <c r="B18" s="69">
        <f>IF($A18="","",COUNTIF(Orders!$D:$D,$A18))</f>
        <v/>
      </c>
      <c r="C18" s="69">
        <f>IF($A18="","",COUNTIFS(Orders!$D:$D,$A18,Orders!$H:$H,"Yes"))</f>
        <v/>
      </c>
      <c r="D18" s="69">
        <f>IF($A18="","",B18-C18)</f>
        <v/>
      </c>
      <c r="E18" s="69">
        <f>IF($A18="","",COUNTIFS(Orders!$D:$D,$A18,Orders!$K:$K,"Yes"))</f>
        <v/>
      </c>
      <c r="F18" s="69">
        <f>IF($A18="","",B18-E18)</f>
        <v/>
      </c>
    </row>
    <row r="19" ht="18" customHeight="1" s="41">
      <c r="A19" s="67" t="n"/>
      <c r="B19" s="68">
        <f>IF($A19="","",COUNTIF(Orders!$D:$D,$A19))</f>
        <v/>
      </c>
      <c r="C19" s="68">
        <f>IF($A19="","",COUNTIFS(Orders!$D:$D,$A19,Orders!$H:$H,"Yes"))</f>
        <v/>
      </c>
      <c r="D19" s="68">
        <f>IF($A19="","",B19-C19)</f>
        <v/>
      </c>
      <c r="E19" s="68">
        <f>IF($A19="","",COUNTIFS(Orders!$D:$D,$A19,Orders!$K:$K,"Yes"))</f>
        <v/>
      </c>
      <c r="F19" s="68">
        <f>IF($A19="","",B19-E19)</f>
        <v/>
      </c>
    </row>
    <row r="20" ht="18" customHeight="1" s="41">
      <c r="A20" s="67" t="n"/>
      <c r="B20" s="69">
        <f>IF($A20="","",COUNTIF(Orders!$D:$D,$A20))</f>
        <v/>
      </c>
      <c r="C20" s="69">
        <f>IF($A20="","",COUNTIFS(Orders!$D:$D,$A20,Orders!$H:$H,"Yes"))</f>
        <v/>
      </c>
      <c r="D20" s="69">
        <f>IF($A20="","",B20-C20)</f>
        <v/>
      </c>
      <c r="E20" s="69">
        <f>IF($A20="","",COUNTIFS(Orders!$D:$D,$A20,Orders!$K:$K,"Yes"))</f>
        <v/>
      </c>
      <c r="F20" s="69">
        <f>IF($A20="","",B20-E20)</f>
        <v/>
      </c>
    </row>
    <row r="21" ht="18" customHeight="1" s="41">
      <c r="A21" s="67" t="n"/>
      <c r="B21" s="68">
        <f>IF($A21="","",COUNTIF(Orders!$D:$D,$A21))</f>
        <v/>
      </c>
      <c r="C21" s="68">
        <f>IF($A21="","",COUNTIFS(Orders!$D:$D,$A21,Orders!$H:$H,"Yes"))</f>
        <v/>
      </c>
      <c r="D21" s="68">
        <f>IF($A21="","",B21-C21)</f>
        <v/>
      </c>
      <c r="E21" s="68">
        <f>IF($A21="","",COUNTIFS(Orders!$D:$D,$A21,Orders!$K:$K,"Yes"))</f>
        <v/>
      </c>
      <c r="F21" s="68">
        <f>IF($A21="","",B21-E21)</f>
        <v/>
      </c>
    </row>
    <row r="22" ht="18" customHeight="1" s="41">
      <c r="A22" s="67" t="n"/>
      <c r="B22" s="69">
        <f>IF($A22="","",COUNTIF(Orders!$D:$D,$A22))</f>
        <v/>
      </c>
      <c r="C22" s="69">
        <f>IF($A22="","",COUNTIFS(Orders!$D:$D,$A22,Orders!$H:$H,"Yes"))</f>
        <v/>
      </c>
      <c r="D22" s="69">
        <f>IF($A22="","",B22-C22)</f>
        <v/>
      </c>
      <c r="E22" s="69">
        <f>IF($A22="","",COUNTIFS(Orders!$D:$D,$A22,Orders!$K:$K,"Yes"))</f>
        <v/>
      </c>
      <c r="F22" s="69">
        <f>IF($A22="","",B22-E22)</f>
        <v/>
      </c>
    </row>
    <row r="23" ht="18" customHeight="1" s="41">
      <c r="A23" s="67" t="n"/>
      <c r="B23" s="68">
        <f>IF($A23="","",COUNTIF(Orders!$D:$D,$A23))</f>
        <v/>
      </c>
      <c r="C23" s="68">
        <f>IF($A23="","",COUNTIFS(Orders!$D:$D,$A23,Orders!$H:$H,"Yes"))</f>
        <v/>
      </c>
      <c r="D23" s="68">
        <f>IF($A23="","",B23-C23)</f>
        <v/>
      </c>
      <c r="E23" s="68">
        <f>IF($A23="","",COUNTIFS(Orders!$D:$D,$A23,Orders!$K:$K,"Yes"))</f>
        <v/>
      </c>
      <c r="F23" s="68">
        <f>IF($A23="","",B23-E23)</f>
        <v/>
      </c>
    </row>
    <row r="24" ht="18" customHeight="1" s="41">
      <c r="A24" s="67" t="n"/>
      <c r="B24" s="69">
        <f>IF($A24="","",COUNTIF(Orders!$D:$D,$A24))</f>
        <v/>
      </c>
      <c r="C24" s="69">
        <f>IF($A24="","",COUNTIFS(Orders!$D:$D,$A24,Orders!$H:$H,"Yes"))</f>
        <v/>
      </c>
      <c r="D24" s="69">
        <f>IF($A24="","",B24-C24)</f>
        <v/>
      </c>
      <c r="E24" s="69">
        <f>IF($A24="","",COUNTIFS(Orders!$D:$D,$A24,Orders!$K:$K,"Yes"))</f>
        <v/>
      </c>
      <c r="F24" s="69">
        <f>IF($A24="","",B24-E24)</f>
        <v/>
      </c>
    </row>
    <row r="25" ht="18" customHeight="1" s="41">
      <c r="A25" s="67" t="n"/>
      <c r="B25" s="68">
        <f>IF($A25="","",COUNTIF(Orders!$D:$D,$A25))</f>
        <v/>
      </c>
      <c r="C25" s="68">
        <f>IF($A25="","",COUNTIFS(Orders!$D:$D,$A25,Orders!$H:$H,"Yes"))</f>
        <v/>
      </c>
      <c r="D25" s="68">
        <f>IF($A25="","",B25-C25)</f>
        <v/>
      </c>
      <c r="E25" s="68">
        <f>IF($A25="","",COUNTIFS(Orders!$D:$D,$A25,Orders!$K:$K,"Yes"))</f>
        <v/>
      </c>
      <c r="F25" s="68">
        <f>IF($A25="","",B25-E25)</f>
        <v/>
      </c>
    </row>
    <row r="26" ht="18" customHeight="1" s="41">
      <c r="A26" s="67" t="n"/>
      <c r="B26" s="69">
        <f>IF($A26="","",COUNTIF(Orders!$D:$D,$A26))</f>
        <v/>
      </c>
      <c r="C26" s="69">
        <f>IF($A26="","",COUNTIFS(Orders!$D:$D,$A26,Orders!$H:$H,"Yes"))</f>
        <v/>
      </c>
      <c r="D26" s="69">
        <f>IF($A26="","",B26-C26)</f>
        <v/>
      </c>
      <c r="E26" s="69">
        <f>IF($A26="","",COUNTIFS(Orders!$D:$D,$A26,Orders!$K:$K,"Yes"))</f>
        <v/>
      </c>
      <c r="F26" s="69">
        <f>IF($A26="","",B26-E26)</f>
        <v/>
      </c>
    </row>
    <row r="27" ht="18" customHeight="1" s="41">
      <c r="A27" s="67" t="n"/>
      <c r="B27" s="68">
        <f>IF($A27="","",COUNTIF(Orders!$D:$D,$A27))</f>
        <v/>
      </c>
      <c r="C27" s="68">
        <f>IF($A27="","",COUNTIFS(Orders!$D:$D,$A27,Orders!$H:$H,"Yes"))</f>
        <v/>
      </c>
      <c r="D27" s="68">
        <f>IF($A27="","",B27-C27)</f>
        <v/>
      </c>
      <c r="E27" s="68">
        <f>IF($A27="","",COUNTIFS(Orders!$D:$D,$A27,Orders!$K:$K,"Yes"))</f>
        <v/>
      </c>
      <c r="F27" s="68">
        <f>IF($A27="","",B27-E27)</f>
        <v/>
      </c>
    </row>
    <row r="28" ht="18" customHeight="1" s="41">
      <c r="A28" s="67" t="n"/>
      <c r="B28" s="69">
        <f>IF($A28="","",COUNTIF(Orders!$D:$D,$A28))</f>
        <v/>
      </c>
      <c r="C28" s="69">
        <f>IF($A28="","",COUNTIFS(Orders!$D:$D,$A28,Orders!$H:$H,"Yes"))</f>
        <v/>
      </c>
      <c r="D28" s="69">
        <f>IF($A28="","",B28-C28)</f>
        <v/>
      </c>
      <c r="E28" s="69">
        <f>IF($A28="","",COUNTIFS(Orders!$D:$D,$A28,Orders!$K:$K,"Yes"))</f>
        <v/>
      </c>
      <c r="F28" s="69">
        <f>IF($A28="","",B28-E28)</f>
        <v/>
      </c>
    </row>
    <row r="29" ht="18" customHeight="1" s="41">
      <c r="A29" s="67" t="n"/>
      <c r="B29" s="68">
        <f>IF($A29="","",COUNTIF(Orders!$D:$D,$A29))</f>
        <v/>
      </c>
      <c r="C29" s="68">
        <f>IF($A29="","",COUNTIFS(Orders!$D:$D,$A29,Orders!$H:$H,"Yes"))</f>
        <v/>
      </c>
      <c r="D29" s="68">
        <f>IF($A29="","",B29-C29)</f>
        <v/>
      </c>
      <c r="E29" s="68">
        <f>IF($A29="","",COUNTIFS(Orders!$D:$D,$A29,Orders!$K:$K,"Yes"))</f>
        <v/>
      </c>
      <c r="F29" s="68">
        <f>IF($A29="","",B29-E29)</f>
        <v/>
      </c>
    </row>
    <row r="30" ht="18" customHeight="1" s="41">
      <c r="A30" s="67" t="n"/>
      <c r="B30" s="69">
        <f>IF($A30="","",COUNTIF(Orders!$D:$D,$A30))</f>
        <v/>
      </c>
      <c r="C30" s="69">
        <f>IF($A30="","",COUNTIFS(Orders!$D:$D,$A30,Orders!$H:$H,"Yes"))</f>
        <v/>
      </c>
      <c r="D30" s="69">
        <f>IF($A30="","",B30-C30)</f>
        <v/>
      </c>
      <c r="E30" s="69">
        <f>IF($A30="","",COUNTIFS(Orders!$D:$D,$A30,Orders!$K:$K,"Yes"))</f>
        <v/>
      </c>
      <c r="F30" s="69">
        <f>IF($A30="","",B30-E30)</f>
        <v/>
      </c>
    </row>
    <row r="31" ht="18" customHeight="1" s="41">
      <c r="A31" s="67" t="n"/>
      <c r="B31" s="68">
        <f>IF($A31="","",COUNTIF(Orders!$D:$D,$A31))</f>
        <v/>
      </c>
      <c r="C31" s="68">
        <f>IF($A31="","",COUNTIFS(Orders!$D:$D,$A31,Orders!$H:$H,"Yes"))</f>
        <v/>
      </c>
      <c r="D31" s="68">
        <f>IF($A31="","",B31-C31)</f>
        <v/>
      </c>
      <c r="E31" s="68">
        <f>IF($A31="","",COUNTIFS(Orders!$D:$D,$A31,Orders!$K:$K,"Yes"))</f>
        <v/>
      </c>
      <c r="F31" s="68">
        <f>IF($A31="","",B31-E31)</f>
        <v/>
      </c>
    </row>
    <row r="32" ht="18" customHeight="1" s="41">
      <c r="A32" s="67" t="n"/>
      <c r="B32" s="69">
        <f>IF($A32="","",COUNTIF(Orders!$D:$D,$A32))</f>
        <v/>
      </c>
      <c r="C32" s="69">
        <f>IF($A32="","",COUNTIFS(Orders!$D:$D,$A32,Orders!$H:$H,"Yes"))</f>
        <v/>
      </c>
      <c r="D32" s="69">
        <f>IF($A32="","",B32-C32)</f>
        <v/>
      </c>
      <c r="E32" s="69">
        <f>IF($A32="","",COUNTIFS(Orders!$D:$D,$A32,Orders!$K:$K,"Yes"))</f>
        <v/>
      </c>
      <c r="F32" s="69">
        <f>IF($A32="","",B32-E32)</f>
        <v/>
      </c>
    </row>
    <row r="33" ht="18" customHeight="1" s="41">
      <c r="A33" s="67" t="n"/>
      <c r="B33" s="68">
        <f>IF($A33="","",COUNTIF(Orders!$D:$D,$A33))</f>
        <v/>
      </c>
      <c r="C33" s="68">
        <f>IF($A33="","",COUNTIFS(Orders!$D:$D,$A33,Orders!$H:$H,"Yes"))</f>
        <v/>
      </c>
      <c r="D33" s="68">
        <f>IF($A33="","",B33-C33)</f>
        <v/>
      </c>
      <c r="E33" s="68">
        <f>IF($A33="","",COUNTIFS(Orders!$D:$D,$A33,Orders!$K:$K,"Yes"))</f>
        <v/>
      </c>
      <c r="F33" s="68">
        <f>IF($A33="","",B33-E33)</f>
        <v/>
      </c>
    </row>
    <row r="34" ht="18" customHeight="1" s="41">
      <c r="A34" s="67" t="n"/>
      <c r="B34" s="69">
        <f>IF($A34="","",COUNTIF(Orders!$D:$D,$A34))</f>
        <v/>
      </c>
      <c r="C34" s="69">
        <f>IF($A34="","",COUNTIFS(Orders!$D:$D,$A34,Orders!$H:$H,"Yes"))</f>
        <v/>
      </c>
      <c r="D34" s="69">
        <f>IF($A34="","",B34-C34)</f>
        <v/>
      </c>
      <c r="E34" s="69">
        <f>IF($A34="","",COUNTIFS(Orders!$D:$D,$A34,Orders!$K:$K,"Yes"))</f>
        <v/>
      </c>
      <c r="F34" s="69">
        <f>IF($A34="","",B34-E34)</f>
        <v/>
      </c>
    </row>
    <row r="35" ht="15" customHeight="1" s="41">
      <c r="A35" s="70" t="inlineStr">
        <is>
          <t>Total</t>
        </is>
      </c>
      <c r="B35" s="71">
        <f>SUM(B5:B34)</f>
        <v/>
      </c>
      <c r="C35" s="71">
        <f>SUM(C5:C34)</f>
        <v/>
      </c>
      <c r="D35" s="71">
        <f>SUM(D5:D34)</f>
        <v/>
      </c>
      <c r="E35" s="71">
        <f>SUM(E5:E34)</f>
        <v/>
      </c>
      <c r="F35" s="71">
        <f>SUM(F5:F34)</f>
        <v/>
      </c>
    </row>
    <row r="36"/>
    <row r="37"/>
    <row r="38" ht="15" customHeight="1" s="41">
      <c r="A38" s="48" t="inlineStr">
        <is>
          <t>Bags counts every order for that form. It does not care whether it is paid for yet.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0" min="1" max="1"/>
    <col width="16" customWidth="1" style="40" min="2" max="2"/>
    <col width="34" customWidth="1" style="40" min="3" max="3"/>
    <col width="14" customWidth="1" style="40" min="4" max="4"/>
  </cols>
  <sheetData>
    <row r="1" ht="39.75" customHeight="1" s="41">
      <c r="A1" s="42" t="inlineStr">
        <is>
          <t xml:space="preserve">      Money</t>
        </is>
      </c>
    </row>
    <row r="2" ht="18" customHeight="1" s="41">
      <c r="A2" s="43" t="inlineStr">
        <is>
          <t xml:space="preserve">      What came in, what went out, what goes to the charity.     |     The Pastoral Guide</t>
        </is>
      </c>
    </row>
    <row r="3"/>
    <row r="4" ht="16.15" customHeight="1" s="41">
      <c r="A4" s="44" t="inlineStr">
        <is>
          <t>Coming in</t>
        </is>
      </c>
    </row>
    <row r="5" ht="18.75" customHeight="1" s="41">
      <c r="A5" s="72" t="inlineStr">
        <is>
          <t>Bags paid for</t>
        </is>
      </c>
      <c r="B5" s="73">
        <f>COUNTIF(Orders!$F:$F,"Yes")</f>
        <v/>
      </c>
      <c r="C5" s="48" t="inlineStr">
        <is>
          <t>Counted from the Orders tab.</t>
        </is>
      </c>
    </row>
    <row r="6" ht="18.75" customHeight="1" s="41">
      <c r="A6" s="72" t="inlineStr">
        <is>
          <t>Price per bag</t>
        </is>
      </c>
      <c r="B6" s="74">
        <f>'Start here'!$B$7</f>
        <v/>
      </c>
      <c r="C6" s="48" t="inlineStr">
        <is>
          <t>Set on the Start here tab.</t>
        </is>
      </c>
    </row>
    <row r="7" ht="18.75" customHeight="1" s="41">
      <c r="A7" s="46" t="inlineStr">
        <is>
          <t>Total taken</t>
        </is>
      </c>
      <c r="B7" s="75">
        <f>B5*B6</f>
        <v/>
      </c>
    </row>
    <row r="8"/>
    <row r="9"/>
    <row r="10" ht="16.15" customHeight="1" s="41">
      <c r="A10" s="44" t="inlineStr">
        <is>
          <t>Going out</t>
        </is>
      </c>
    </row>
    <row r="11" ht="15" customHeight="1" s="41">
      <c r="A11" s="76" t="inlineStr">
        <is>
          <t>Put what you actually spent in the yellow cells.</t>
        </is>
      </c>
    </row>
    <row r="12" ht="18" customHeight="1" s="41">
      <c r="A12" s="72" t="inlineStr">
        <is>
          <t>Hot chocolate powder</t>
        </is>
      </c>
      <c r="B12" s="47" t="n">
        <v>0</v>
      </c>
    </row>
    <row r="13" ht="18" customHeight="1" s="41">
      <c r="A13" s="72" t="inlineStr">
        <is>
          <t>Marshmallows</t>
        </is>
      </c>
      <c r="B13" s="47" t="n">
        <v>0</v>
      </c>
    </row>
    <row r="14" ht="18" customHeight="1" s="41">
      <c r="A14" s="72" t="inlineStr">
        <is>
          <t>Food bags</t>
        </is>
      </c>
      <c r="B14" s="47" t="n">
        <v>0</v>
      </c>
    </row>
    <row r="15" ht="18" customHeight="1" s="41">
      <c r="A15" s="72" t="inlineStr">
        <is>
          <t>Ribbon</t>
        </is>
      </c>
      <c r="B15" s="47" t="n">
        <v>0</v>
      </c>
    </row>
    <row r="16" ht="18" customHeight="1" s="41">
      <c r="A16" s="72" t="inlineStr">
        <is>
          <t>Card and printing</t>
        </is>
      </c>
      <c r="B16" s="47" t="n">
        <v>0</v>
      </c>
    </row>
    <row r="17" ht="18" customHeight="1" s="41">
      <c r="A17" s="72" t="inlineStr">
        <is>
          <t>Anything else</t>
        </is>
      </c>
      <c r="B17" s="47" t="n">
        <v>0</v>
      </c>
    </row>
    <row r="18" ht="15" customHeight="1" s="41">
      <c r="A18" s="46" t="inlineStr">
        <is>
          <t>Total spent</t>
        </is>
      </c>
      <c r="B18" s="75">
        <f>SUM(B12:B17)</f>
        <v/>
      </c>
    </row>
    <row r="19"/>
    <row r="20"/>
    <row r="21" ht="16.15" customHeight="1" s="41">
      <c r="A21" s="44" t="inlineStr">
        <is>
          <t>To the charity</t>
        </is>
      </c>
      <c r="B21" s="77">
        <f>B7-B18</f>
        <v/>
      </c>
    </row>
    <row r="22" ht="15" customHeight="1" s="41">
      <c r="A22" s="78" t="n"/>
      <c r="C22" s="48" t="inlineStr">
        <is>
          <t>Total taken less total spent.</t>
        </is>
      </c>
    </row>
    <row r="23" ht="15" customHeight="1" s="41">
      <c r="A23" s="79" t="inlineStr">
        <is>
          <t>Going to</t>
        </is>
      </c>
      <c r="B23" s="80">
        <f>'Start here'!$B$8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Pastoral Guide</dc:creator>
  <dc:title xmlns:dc="http://purl.org/dc/elements/1.1/">Sweet Notes: tracker</dc:title>
  <dc:description xmlns:dc="http://purl.org/dc/elements/1.1/">A free pastoral resource for form tutors, from The Pastoral Guide, thepastoralguide.com</dc:description>
  <dc:subject xmlns:dc="http://purl.org/dc/elements/1.1/">A free pastoral resource for form tutors, from The Pastoral Guide, thepastoralguide.com</dc:subject>
  <dcterms:created xmlns:dcterms="http://purl.org/dc/terms/" xmlns:xsi="http://www.w3.org/2001/XMLSchema-instance" xsi:type="dcterms:W3CDTF">2026-09-14T05:55:02Z</dcterms:created>
  <dcterms:modified xmlns:dcterms="http://purl.org/dc/terms/" xmlns:xsi="http://www.w3.org/2001/XMLSchema-instance" xsi:type="dcterms:W3CDTF">2026-10-07T03:14:02Z</dcterms:modified>
  <cp:lastModifiedBy>The Pastoral Guide</cp:lastModifiedBy>
  <cp:category>Pastoral resources</cp:category>
  <cp:revision>1</cp:revision>
  <cp:keywords>form time, tutor time, pastoral, PSHE, secondary, free</cp:keywords>
</cp:coreProperties>
</file>