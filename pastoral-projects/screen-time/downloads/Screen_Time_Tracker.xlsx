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creen Time Tracker" sheetId="1" state="visible" r:id="rId1"/>
  </sheets>
  <definedNames>
    <definedName name="_xlnm.Print_Area" localSheetId="0">'Screen Time Tracker'!$A$1:$L$36</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d/mm"/>
    <numFmt numFmtId="165" formatCode="0.0"/>
    <numFmt numFmtId="166" formatCode="0.000"/>
  </numFmts>
  <fonts count="30">
    <font>
      <name val="Calibri"/>
      <charset val="1"/>
      <family val="2"/>
      <color theme="1"/>
      <sz val="11"/>
    </font>
    <font>
      <name val="Arial"/>
      <family val="0"/>
      <sz val="10"/>
    </font>
    <font>
      <name val="Arial"/>
      <family val="0"/>
      <sz val="10"/>
    </font>
    <font>
      <name val="Arial"/>
      <family val="0"/>
      <sz val="10"/>
    </font>
    <font>
      <name val="Georgia"/>
      <charset val="1"/>
      <family val="0"/>
      <b val="1"/>
      <color rgb="FFFFFFFF"/>
      <sz val="22"/>
    </font>
    <font>
      <name val="Calibri"/>
      <charset val="1"/>
      <family val="0"/>
      <i val="1"/>
      <color rgb="FF5C6552"/>
      <sz val="11"/>
    </font>
    <font>
      <name val="Calibri"/>
      <charset val="1"/>
      <family val="0"/>
      <b val="1"/>
      <color rgb="FFFFFFFF"/>
      <sz val="12"/>
    </font>
    <font>
      <name val="Calibri"/>
      <charset val="1"/>
      <family val="0"/>
      <b val="1"/>
      <color rgb="FF2E4436"/>
      <sz val="10.5"/>
    </font>
    <font>
      <name val="Calibri"/>
      <charset val="1"/>
      <family val="0"/>
      <b val="1"/>
      <color rgb="FF2E4436"/>
      <sz val="11"/>
    </font>
    <font>
      <name val="Calibri"/>
      <charset val="1"/>
      <family val="0"/>
      <b val="1"/>
      <color rgb="FFFFFFFF"/>
      <sz val="11"/>
    </font>
    <font>
      <name val="Calibri"/>
      <charset val="1"/>
      <family val="0"/>
      <b val="1"/>
      <color rgb="FF2E4436"/>
      <sz val="10"/>
    </font>
    <font>
      <name val="Calibri"/>
      <charset val="1"/>
      <family val="0"/>
      <b val="1"/>
      <color rgb="FFFFFFFF"/>
      <sz val="10"/>
    </font>
    <font>
      <name val="Calibri"/>
      <charset val="1"/>
      <family val="0"/>
      <color rgb="FF2E4436"/>
      <sz val="11"/>
    </font>
    <font>
      <name val="Georgia"/>
      <charset val="1"/>
      <family val="0"/>
      <b val="1"/>
      <color rgb="FF2E4436"/>
      <sz val="15"/>
    </font>
    <font>
      <name val="Calibri"/>
      <charset val="1"/>
      <family val="0"/>
      <b val="1"/>
      <color rgb="FF2E4436"/>
      <sz val="12"/>
    </font>
    <font>
      <name val="Calibri"/>
      <charset val="1"/>
      <family val="0"/>
      <i val="1"/>
      <color rgb="FF6B4F1F"/>
      <sz val="12"/>
    </font>
    <font>
      <name val="Calibri"/>
      <charset val="1"/>
      <family val="0"/>
      <i val="1"/>
      <color rgb="FF5C6552"/>
      <sz val="10.5"/>
    </font>
    <font>
      <name val="Georgia"/>
      <charset val="1"/>
      <family val="0"/>
      <color rgb="FFFFFFFF"/>
      <sz val="22"/>
    </font>
    <font>
      <name val="Calibri"/>
      <charset val="1"/>
      <family val="0"/>
      <i val="1"/>
      <color rgb="FF5C6552"/>
      <sz val="11"/>
    </font>
    <font>
      <name val="Calibri"/>
      <charset val="1"/>
      <family val="0"/>
      <b val="1"/>
      <color rgb="FFFFFFFF"/>
      <sz val="12"/>
    </font>
    <font>
      <name val="Calibri"/>
      <charset val="1"/>
      <family val="0"/>
      <b val="1"/>
      <color rgb="FF2E4436"/>
      <sz val="10.5"/>
    </font>
    <font>
      <name val="Calibri"/>
      <charset val="1"/>
      <family val="0"/>
      <b val="1"/>
      <color rgb="FF2E4436"/>
      <sz val="11"/>
    </font>
    <font>
      <name val="Calibri"/>
      <charset val="1"/>
      <family val="0"/>
      <b val="1"/>
      <color rgb="FFFFFFFF"/>
      <sz val="11"/>
    </font>
    <font>
      <name val="Calibri"/>
      <charset val="1"/>
      <family val="0"/>
      <b val="1"/>
      <color rgb="FF2E4436"/>
      <sz val="10"/>
    </font>
    <font>
      <name val="Calibri"/>
      <charset val="1"/>
      <family val="0"/>
      <b val="1"/>
      <color rgb="FFFFFFFF"/>
      <sz val="10"/>
    </font>
    <font>
      <name val="Calibri"/>
      <charset val="1"/>
      <family val="0"/>
      <color rgb="FF2E4436"/>
      <sz val="11"/>
    </font>
    <font>
      <name val="Georgia"/>
      <charset val="1"/>
      <family val="0"/>
      <color rgb="FF2E4436"/>
      <sz val="15"/>
    </font>
    <font>
      <name val="Calibri"/>
      <charset val="1"/>
      <family val="0"/>
      <b val="1"/>
      <color rgb="FF2E4436"/>
      <sz val="12"/>
    </font>
    <font>
      <name val="Calibri"/>
      <charset val="1"/>
      <family val="0"/>
      <i val="1"/>
      <color rgb="FF6B4F1F"/>
      <sz val="12"/>
    </font>
    <font>
      <name val="Calibri"/>
      <charset val="1"/>
      <family val="0"/>
      <i val="1"/>
      <color rgb="FF5C6552"/>
      <sz val="10.5"/>
    </font>
  </fonts>
  <fills count="10">
    <fill>
      <patternFill/>
    </fill>
    <fill>
      <patternFill patternType="gray125"/>
    </fill>
    <fill>
      <patternFill patternType="solid">
        <fgColor rgb="FF6B4F1F"/>
        <bgColor rgb="FF5C6552"/>
      </patternFill>
    </fill>
    <fill>
      <patternFill patternType="solid">
        <fgColor rgb="FFF4E2AB"/>
        <bgColor rgb="FFEAD6A8"/>
      </patternFill>
    </fill>
    <fill>
      <patternFill patternType="solid">
        <fgColor rgb="FFFAF8F3"/>
        <bgColor rgb="FFFFFFFF"/>
      </patternFill>
    </fill>
    <fill>
      <patternFill patternType="solid">
        <fgColor rgb="FFECD28C"/>
        <bgColor rgb="FFEAD6A8"/>
      </patternFill>
    </fill>
    <fill>
      <patternFill patternType="solid">
        <fgColor rgb="FFC2984A"/>
        <bgColor rgb="FFE0C073"/>
      </patternFill>
    </fill>
    <fill>
      <patternFill patternType="solid">
        <fgColor rgb="FFE0C073"/>
        <bgColor rgb="FFECD28C"/>
      </patternFill>
    </fill>
    <fill>
      <patternFill patternType="solid">
        <fgColor rgb="FFFFFFFF"/>
        <bgColor rgb="FFFAF8F3"/>
      </patternFill>
    </fill>
    <fill>
      <patternFill patternType="solid">
        <fgColor rgb="FFEAD6A8"/>
        <bgColor rgb="FFECD28C"/>
      </patternFill>
    </fill>
  </fills>
  <borders count="2">
    <border>
      <left/>
      <right/>
      <top/>
      <bottom/>
      <diagonal/>
    </border>
    <border>
      <left style="thin">
        <color rgb="FFF4E2AB"/>
      </left>
      <right style="thin">
        <color rgb="FFF4E2AB"/>
      </right>
      <top style="thin">
        <color rgb="FFF4E2AB"/>
      </top>
      <bottom style="thin">
        <color rgb="FFF4E2A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3"/>
    </xf>
    <xf numFmtId="0" fontId="5" fillId="3" borderId="0" applyAlignment="1" pivotButton="0" quotePrefix="0" xfId="0">
      <alignment horizontal="left" vertical="center" indent="6"/>
    </xf>
    <xf numFmtId="0" fontId="0" fillId="4" borderId="0" applyAlignment="1" pivotButton="0" quotePrefix="0" xfId="0">
      <alignment horizontal="general" vertical="bottom"/>
    </xf>
    <xf numFmtId="0" fontId="6" fillId="2" borderId="0" applyAlignment="1" pivotButton="0" quotePrefix="0" xfId="0">
      <alignment horizontal="left" vertical="center" indent="1"/>
    </xf>
    <xf numFmtId="0" fontId="6" fillId="2" borderId="0" applyAlignment="1" pivotButton="0" quotePrefix="0" xfId="0">
      <alignment horizontal="center" vertical="center"/>
    </xf>
    <xf numFmtId="164" fontId="7" fillId="3" borderId="1" applyAlignment="1" pivotButton="0" quotePrefix="0" xfId="0">
      <alignment horizontal="center" vertical="center"/>
    </xf>
    <xf numFmtId="0" fontId="8" fillId="5" borderId="0" applyAlignment="1" pivotButton="0" quotePrefix="0" xfId="0">
      <alignment horizontal="center" vertical="center"/>
    </xf>
    <xf numFmtId="0" fontId="9" fillId="2" borderId="0" applyAlignment="1" pivotButton="0" quotePrefix="0" xfId="0">
      <alignment horizontal="center" vertical="center"/>
    </xf>
    <xf numFmtId="0" fontId="10"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3" borderId="1" applyAlignment="1" pivotButton="0" quotePrefix="0" xfId="0">
      <alignment horizontal="left" vertical="center" indent="1"/>
    </xf>
    <xf numFmtId="165" fontId="12" fillId="3" borderId="1" applyAlignment="1" pivotButton="0" quotePrefix="0" xfId="0">
      <alignment horizontal="center" vertical="center"/>
    </xf>
    <xf numFmtId="165" fontId="8" fillId="5" borderId="1" applyAlignment="1" pivotButton="0" quotePrefix="0" xfId="0">
      <alignment horizontal="center" vertical="center"/>
    </xf>
    <xf numFmtId="0" fontId="12" fillId="5" borderId="1" applyAlignment="1" pivotButton="0" quotePrefix="0" xfId="0">
      <alignment horizontal="center" vertical="center"/>
    </xf>
    <xf numFmtId="166" fontId="8" fillId="7" borderId="1" applyAlignment="1" pivotButton="0" quotePrefix="0" xfId="0">
      <alignment horizontal="center" vertical="center"/>
    </xf>
    <xf numFmtId="0" fontId="12" fillId="7" borderId="1" applyAlignment="1" pivotButton="0" quotePrefix="0" xfId="0">
      <alignment horizontal="center" vertical="center"/>
    </xf>
    <xf numFmtId="0" fontId="12" fillId="8" borderId="1" applyAlignment="1" pivotButton="0" quotePrefix="0" xfId="0">
      <alignment horizontal="left" vertical="center" indent="1"/>
    </xf>
    <xf numFmtId="165" fontId="12" fillId="8" borderId="1" applyAlignment="1" pivotButton="0" quotePrefix="0" xfId="0">
      <alignment horizontal="center" vertical="center"/>
    </xf>
    <xf numFmtId="165" fontId="8" fillId="3" borderId="1" applyAlignment="1" pivotButton="0" quotePrefix="0" xfId="0">
      <alignment horizontal="center" vertical="center"/>
    </xf>
    <xf numFmtId="0" fontId="12" fillId="3" borderId="1" applyAlignment="1" pivotButton="0" quotePrefix="0" xfId="0">
      <alignment horizontal="center" vertical="center"/>
    </xf>
    <xf numFmtId="166" fontId="8" fillId="9" borderId="1" applyAlignment="1" pivotButton="0" quotePrefix="0" xfId="0">
      <alignment horizontal="center" vertical="center"/>
    </xf>
    <xf numFmtId="0" fontId="12" fillId="9" borderId="1" applyAlignment="1" pivotButton="0" quotePrefix="0" xfId="0">
      <alignment horizontal="center" vertical="center"/>
    </xf>
    <xf numFmtId="0" fontId="13" fillId="3" borderId="0" applyAlignment="1" pivotButton="0" quotePrefix="0" xfId="0">
      <alignment horizontal="left" vertical="center" indent="1"/>
    </xf>
    <xf numFmtId="0" fontId="14" fillId="3" borderId="0" applyAlignment="1" pivotButton="0" quotePrefix="0" xfId="0">
      <alignment horizontal="left" vertical="center" indent="1"/>
    </xf>
    <xf numFmtId="0" fontId="15" fillId="3" borderId="0" applyAlignment="1" pivotButton="0" quotePrefix="0" xfId="0">
      <alignment horizontal="left" vertical="center" indent="1"/>
    </xf>
    <xf numFmtId="0" fontId="14" fillId="8" borderId="0" applyAlignment="1" pivotButton="0" quotePrefix="0" xfId="0">
      <alignment horizontal="left" vertical="center" indent="1"/>
    </xf>
    <xf numFmtId="0" fontId="15" fillId="8" borderId="0" applyAlignment="1" pivotButton="0" quotePrefix="0" xfId="0">
      <alignment horizontal="left" vertical="center" indent="1"/>
    </xf>
    <xf numFmtId="0" fontId="16" fillId="4" borderId="0" applyAlignment="1" pivotButton="0" quotePrefix="0" xfId="0">
      <alignment horizontal="left" vertical="top" wrapText="1" indent="1"/>
    </xf>
    <xf numFmtId="0" fontId="0" fillId="0" borderId="0" applyAlignment="1" pivotButton="0" quotePrefix="0" xfId="0">
      <alignment horizontal="general" vertical="bottom"/>
    </xf>
    <xf numFmtId="0" fontId="0" fillId="0" borderId="0" pivotButton="0" quotePrefix="0" xfId="0"/>
    <xf numFmtId="0" fontId="17" fillId="2" borderId="0" applyAlignment="1" pivotButton="0" quotePrefix="0" xfId="0">
      <alignment horizontal="left" vertical="center" indent="3"/>
    </xf>
    <xf numFmtId="0" fontId="18" fillId="3" borderId="0" applyAlignment="1" pivotButton="0" quotePrefix="0" xfId="0">
      <alignment horizontal="left" vertical="center" indent="6"/>
    </xf>
    <xf numFmtId="0" fontId="0" fillId="4" borderId="0" applyAlignment="1" pivotButton="0" quotePrefix="0" xfId="0">
      <alignment horizontal="general" vertical="bottom"/>
    </xf>
    <xf numFmtId="0" fontId="19" fillId="2" borderId="0" applyAlignment="1" pivotButton="0" quotePrefix="0" xfId="0">
      <alignment horizontal="left" vertical="center" indent="1"/>
    </xf>
    <xf numFmtId="0" fontId="19" fillId="2" borderId="0" applyAlignment="1" pivotButton="0" quotePrefix="0" xfId="0">
      <alignment horizontal="center" vertical="center"/>
    </xf>
    <xf numFmtId="164" fontId="20" fillId="3" borderId="1" applyAlignment="1" pivotButton="0" quotePrefix="0" xfId="0">
      <alignment horizontal="center" vertical="center"/>
    </xf>
    <xf numFmtId="0" fontId="21" fillId="5" borderId="0" applyAlignment="1" pivotButton="0" quotePrefix="0" xfId="0">
      <alignment horizontal="center" vertical="center"/>
    </xf>
    <xf numFmtId="0" fontId="22" fillId="2" borderId="0" applyAlignment="1" pivotButton="0" quotePrefix="0" xfId="0">
      <alignment horizontal="center" vertical="center"/>
    </xf>
    <xf numFmtId="0" fontId="23" fillId="3" borderId="1" applyAlignment="1" pivotButton="0" quotePrefix="0" xfId="0">
      <alignment horizontal="center" vertical="center" wrapText="1"/>
    </xf>
    <xf numFmtId="0" fontId="24" fillId="6" borderId="1" applyAlignment="1" pivotButton="0" quotePrefix="0" xfId="0">
      <alignment horizontal="center" vertical="center" wrapText="1"/>
    </xf>
    <xf numFmtId="0" fontId="25" fillId="3" borderId="1" applyAlignment="1" pivotButton="0" quotePrefix="0" xfId="0">
      <alignment horizontal="left" vertical="center" indent="1"/>
    </xf>
    <xf numFmtId="165" fontId="25" fillId="3" borderId="1" applyAlignment="1" pivotButton="0" quotePrefix="0" xfId="0">
      <alignment horizontal="center" vertical="center"/>
    </xf>
    <xf numFmtId="165" fontId="21" fillId="5" borderId="1" applyAlignment="1" pivotButton="0" quotePrefix="0" xfId="0">
      <alignment horizontal="center" vertical="center"/>
    </xf>
    <xf numFmtId="0" fontId="25" fillId="5" borderId="1" applyAlignment="1" pivotButton="0" quotePrefix="0" xfId="0">
      <alignment horizontal="center" vertical="center"/>
    </xf>
    <xf numFmtId="166" fontId="21" fillId="7" borderId="1" applyAlignment="1" pivotButton="0" quotePrefix="0" xfId="0">
      <alignment horizontal="center" vertical="center"/>
    </xf>
    <xf numFmtId="0" fontId="25" fillId="7" borderId="1" applyAlignment="1" pivotButton="0" quotePrefix="0" xfId="0">
      <alignment horizontal="center" vertical="center"/>
    </xf>
    <xf numFmtId="0" fontId="25" fillId="8" borderId="1" applyAlignment="1" pivotButton="0" quotePrefix="0" xfId="0">
      <alignment horizontal="left" vertical="center" indent="1"/>
    </xf>
    <xf numFmtId="165" fontId="25" fillId="8" borderId="1" applyAlignment="1" pivotButton="0" quotePrefix="0" xfId="0">
      <alignment horizontal="center" vertical="center"/>
    </xf>
    <xf numFmtId="165" fontId="21" fillId="3" borderId="1" applyAlignment="1" pivotButton="0" quotePrefix="0" xfId="0">
      <alignment horizontal="center" vertical="center"/>
    </xf>
    <xf numFmtId="0" fontId="25" fillId="3" borderId="1" applyAlignment="1" pivotButton="0" quotePrefix="0" xfId="0">
      <alignment horizontal="center" vertical="center"/>
    </xf>
    <xf numFmtId="166" fontId="21" fillId="9" borderId="1" applyAlignment="1" pivotButton="0" quotePrefix="0" xfId="0">
      <alignment horizontal="center" vertical="center"/>
    </xf>
    <xf numFmtId="0" fontId="25" fillId="9" borderId="1" applyAlignment="1" pivotButton="0" quotePrefix="0" xfId="0">
      <alignment horizontal="center" vertical="center"/>
    </xf>
    <xf numFmtId="0" fontId="26" fillId="3" borderId="0" applyAlignment="1" pivotButton="0" quotePrefix="0" xfId="0">
      <alignment horizontal="left" vertical="center" indent="1"/>
    </xf>
    <xf numFmtId="0" fontId="27" fillId="3" borderId="0" applyAlignment="1" pivotButton="0" quotePrefix="0" xfId="0">
      <alignment horizontal="left" vertical="center" indent="1"/>
    </xf>
    <xf numFmtId="0" fontId="28" fillId="3" borderId="0" applyAlignment="1" pivotButton="0" quotePrefix="0" xfId="0">
      <alignment horizontal="left" vertical="center" indent="1"/>
    </xf>
    <xf numFmtId="0" fontId="27" fillId="8" borderId="0" applyAlignment="1" pivotButton="0" quotePrefix="0" xfId="0">
      <alignment horizontal="left" vertical="center" indent="1"/>
    </xf>
    <xf numFmtId="0" fontId="28" fillId="8" borderId="0" applyAlignment="1" pivotButton="0" quotePrefix="0" xfId="0">
      <alignment horizontal="left" vertical="center" indent="1"/>
    </xf>
    <xf numFmtId="0" fontId="29" fillId="4" borderId="0" applyAlignment="1" pivotButton="0" quotePrefix="0" xfId="0">
      <alignment horizontal="left" vertical="top" wrapText="1"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D6A8"/>
      <rgbColor rgb="FF808080"/>
      <rgbColor rgb="FF9999FF"/>
      <rgbColor rgb="FF993366"/>
      <rgbColor rgb="FFFAF8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2AB"/>
      <rgbColor rgb="FF99CCFF"/>
      <rgbColor rgb="FFFF99CC"/>
      <rgbColor rgb="FFCC99FF"/>
      <rgbColor rgb="FFECD28C"/>
      <rgbColor rgb="FF3366FF"/>
      <rgbColor rgb="FF33CCCC"/>
      <rgbColor rgb="FF99CC00"/>
      <rgbColor rgb="FFE0C073"/>
      <rgbColor rgb="FFFF9900"/>
      <rgbColor rgb="FFFF6600"/>
      <rgbColor rgb="FF5C6552"/>
      <rgbColor rgb="FFC2984A"/>
      <rgbColor rgb="FF003366"/>
      <rgbColor rgb="FF339966"/>
      <rgbColor rgb="FF003300"/>
      <rgbColor rgb="FF333300"/>
      <rgbColor rgb="FF6B4F1F"/>
      <rgbColor rgb="FF993366"/>
      <rgbColor rgb="FF333399"/>
      <rgbColor rgb="FF2E443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133200</colOff>
      <row>1</row>
      <rowOff>85680</rowOff>
    </from>
    <ext cx="123195" cy="142200"/>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3200" y="514440"/>
          <a:ext cx="84960" cy="142200"/>
        </a:xfrm>
        <a:prstGeom xmlns:a="http://schemas.openxmlformats.org/drawingml/2006/main" prst="rect">
          <avLst/>
        </a:prstGeom>
        <a:ln xmlns:a="http://schemas.openxmlformats.org/drawingml/2006/main" w="0">
          <a:noFill/>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L36"/>
  <sheetViews>
    <sheetView showFormulas="0" showGridLines="0" showRowColHeaders="1" showZeros="1" rightToLeft="0" tabSelected="1"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20" customWidth="1" style="30" min="1" max="1"/>
    <col width="10.51" customWidth="1" style="30" min="2" max="9"/>
    <col width="8" customWidth="1" style="30" min="10" max="10"/>
    <col width="10.51" customWidth="1" style="30" min="11" max="11"/>
    <col width="8" customWidth="1" style="30" min="12" max="12"/>
  </cols>
  <sheetData>
    <row r="1" ht="33.75" customHeight="1" s="31">
      <c r="A1" s="32" t="inlineStr">
        <is>
          <t>Screen Time Tracker</t>
        </is>
      </c>
    </row>
    <row r="2" ht="19.5" customHeight="1" s="31">
      <c r="A2" s="33" t="inlineStr">
        <is>
          <t>The Pastoral Guide  ·  How Does Screen Time Affect…?  ·  updated weekly, all term</t>
        </is>
      </c>
    </row>
    <row r="3" ht="6" customHeight="1" s="31">
      <c r="A3" s="34" t="n"/>
      <c r="B3" s="34" t="n"/>
      <c r="C3" s="34" t="n"/>
      <c r="D3" s="34" t="n"/>
      <c r="E3" s="34" t="n"/>
      <c r="F3" s="34" t="n"/>
      <c r="G3" s="34" t="n"/>
      <c r="H3" s="34" t="n"/>
      <c r="I3" s="34" t="n"/>
      <c r="J3" s="34" t="n"/>
      <c r="K3" s="34" t="n"/>
      <c r="L3" s="34" t="n"/>
    </row>
    <row r="4" ht="21.75" customHeight="1" s="31">
      <c r="A4" s="35" t="inlineStr">
        <is>
          <t>Name</t>
        </is>
      </c>
      <c r="B4" s="36" t="inlineStr">
        <is>
          <t>Average daily screen time per week (hours, e.g. 3.5)</t>
        </is>
      </c>
    </row>
    <row r="5" ht="18" customHeight="1" s="31">
      <c r="B5" s="37" t="n"/>
      <c r="C5" s="37" t="n"/>
      <c r="D5" s="37" t="n"/>
      <c r="E5" s="37" t="n"/>
      <c r="F5" s="37" t="n"/>
      <c r="G5" s="37" t="n"/>
      <c r="H5" s="37" t="n"/>
      <c r="I5" s="38" t="inlineStr">
        <is>
          <t>Total</t>
        </is>
      </c>
      <c r="K5" s="39" t="inlineStr">
        <is>
          <t>Trend</t>
        </is>
      </c>
    </row>
    <row r="6" ht="25.5" customHeight="1" s="31">
      <c r="I6" s="40" t="inlineStr">
        <is>
          <t>Total (hrs)</t>
        </is>
      </c>
      <c r="J6" s="40" t="inlineStr">
        <is>
          <t>Rank</t>
        </is>
      </c>
      <c r="K6" s="41" t="inlineStr">
        <is>
          <t>Trend (slope)</t>
        </is>
      </c>
      <c r="L6" s="41" t="inlineStr">
        <is>
          <t>Rank</t>
        </is>
      </c>
    </row>
    <row r="7" ht="18" customHeight="1" s="31">
      <c r="A7" s="42" t="n"/>
      <c r="B7" s="43" t="n"/>
      <c r="C7" s="43" t="n"/>
      <c r="D7" s="43" t="n"/>
      <c r="E7" s="43" t="n"/>
      <c r="F7" s="43" t="n"/>
      <c r="G7" s="43" t="n"/>
      <c r="H7" s="43" t="n"/>
      <c r="I7" s="44">
        <f>IF(COUNT(B7:H7)=0,"",SUM(B7:H7))</f>
        <v/>
      </c>
      <c r="J7" s="45">
        <f>IF(I7="","",RANK(I7,$I$7:$I$27,1))</f>
        <v/>
      </c>
      <c r="K7" s="46">
        <f>IF(COUNT(B7:H7)&lt;2,"",SLOPE(B7:H7,$B$5:$H$5))</f>
        <v/>
      </c>
      <c r="L7" s="47">
        <f>IF(K7="","",RANK(K7,$K$7:$K$27,1))</f>
        <v/>
      </c>
    </row>
    <row r="8" ht="18" customHeight="1" s="31">
      <c r="A8" s="48" t="n"/>
      <c r="B8" s="49" t="n"/>
      <c r="C8" s="49" t="n"/>
      <c r="D8" s="49" t="n"/>
      <c r="E8" s="49" t="n"/>
      <c r="F8" s="49" t="n"/>
      <c r="G8" s="49" t="n"/>
      <c r="H8" s="49" t="n"/>
      <c r="I8" s="50">
        <f>IF(COUNT(B8:H8)=0,"",SUM(B8:H8))</f>
        <v/>
      </c>
      <c r="J8" s="51">
        <f>IF(I8="","",RANK(I8,$I$7:$I$27,1))</f>
        <v/>
      </c>
      <c r="K8" s="52">
        <f>IF(COUNT(B8:H8)&lt;2,"",SLOPE(B8:H8,$B$5:$H$5))</f>
        <v/>
      </c>
      <c r="L8" s="53">
        <f>IF(K8="","",RANK(K8,$K$7:$K$27,1))</f>
        <v/>
      </c>
    </row>
    <row r="9" ht="18" customHeight="1" s="31">
      <c r="A9" s="42" t="n"/>
      <c r="B9" s="43" t="n"/>
      <c r="C9" s="43" t="n"/>
      <c r="D9" s="43" t="n"/>
      <c r="E9" s="43" t="n"/>
      <c r="F9" s="43" t="n"/>
      <c r="G9" s="43" t="n"/>
      <c r="H9" s="43" t="n"/>
      <c r="I9" s="44">
        <f>IF(COUNT(B9:H9)=0,"",SUM(B9:H9))</f>
        <v/>
      </c>
      <c r="J9" s="45">
        <f>IF(I9="","",RANK(I9,$I$7:$I$27,1))</f>
        <v/>
      </c>
      <c r="K9" s="46">
        <f>IF(COUNT(B9:H9)&lt;2,"",SLOPE(B9:H9,$B$5:$H$5))</f>
        <v/>
      </c>
      <c r="L9" s="47">
        <f>IF(K9="","",RANK(K9,$K$7:$K$27,1))</f>
        <v/>
      </c>
    </row>
    <row r="10" ht="18" customHeight="1" s="31">
      <c r="A10" s="48" t="n"/>
      <c r="B10" s="49" t="n"/>
      <c r="C10" s="49" t="n"/>
      <c r="D10" s="49" t="n"/>
      <c r="E10" s="49" t="n"/>
      <c r="F10" s="49" t="n"/>
      <c r="G10" s="49" t="n"/>
      <c r="H10" s="49" t="n"/>
      <c r="I10" s="50">
        <f>IF(COUNT(B10:H10)=0,"",SUM(B10:H10))</f>
        <v/>
      </c>
      <c r="J10" s="51">
        <f>IF(I10="","",RANK(I10,$I$7:$I$27,1))</f>
        <v/>
      </c>
      <c r="K10" s="52">
        <f>IF(COUNT(B10:H10)&lt;2,"",SLOPE(B10:H10,$B$5:$H$5))</f>
        <v/>
      </c>
      <c r="L10" s="53">
        <f>IF(K10="","",RANK(K10,$K$7:$K$27,1))</f>
        <v/>
      </c>
    </row>
    <row r="11" ht="18" customHeight="1" s="31">
      <c r="A11" s="42" t="n"/>
      <c r="B11" s="43" t="n"/>
      <c r="C11" s="43" t="n"/>
      <c r="D11" s="43" t="n"/>
      <c r="E11" s="43" t="n"/>
      <c r="F11" s="43" t="n"/>
      <c r="G11" s="43" t="n"/>
      <c r="H11" s="43" t="n"/>
      <c r="I11" s="44">
        <f>IF(COUNT(B11:H11)=0,"",SUM(B11:H11))</f>
        <v/>
      </c>
      <c r="J11" s="45">
        <f>IF(I11="","",RANK(I11,$I$7:$I$27,1))</f>
        <v/>
      </c>
      <c r="K11" s="46">
        <f>IF(COUNT(B11:H11)&lt;2,"",SLOPE(B11:H11,$B$5:$H$5))</f>
        <v/>
      </c>
      <c r="L11" s="47">
        <f>IF(K11="","",RANK(K11,$K$7:$K$27,1))</f>
        <v/>
      </c>
    </row>
    <row r="12" ht="18" customHeight="1" s="31">
      <c r="A12" s="48" t="n"/>
      <c r="B12" s="49" t="n"/>
      <c r="C12" s="49" t="n"/>
      <c r="D12" s="49" t="n"/>
      <c r="E12" s="49" t="n"/>
      <c r="F12" s="49" t="n"/>
      <c r="G12" s="49" t="n"/>
      <c r="H12" s="49" t="n"/>
      <c r="I12" s="50">
        <f>IF(COUNT(B12:H12)=0,"",SUM(B12:H12))</f>
        <v/>
      </c>
      <c r="J12" s="51">
        <f>IF(I12="","",RANK(I12,$I$7:$I$27,1))</f>
        <v/>
      </c>
      <c r="K12" s="52">
        <f>IF(COUNT(B12:H12)&lt;2,"",SLOPE(B12:H12,$B$5:$H$5))</f>
        <v/>
      </c>
      <c r="L12" s="53">
        <f>IF(K12="","",RANK(K12,$K$7:$K$27,1))</f>
        <v/>
      </c>
    </row>
    <row r="13" ht="18" customHeight="1" s="31">
      <c r="A13" s="42" t="n"/>
      <c r="B13" s="43" t="n"/>
      <c r="C13" s="43" t="n"/>
      <c r="D13" s="43" t="n"/>
      <c r="E13" s="43" t="n"/>
      <c r="F13" s="43" t="n"/>
      <c r="G13" s="43" t="n"/>
      <c r="H13" s="43" t="n"/>
      <c r="I13" s="44">
        <f>IF(COUNT(B13:H13)=0,"",SUM(B13:H13))</f>
        <v/>
      </c>
      <c r="J13" s="45">
        <f>IF(I13="","",RANK(I13,$I$7:$I$27,1))</f>
        <v/>
      </c>
      <c r="K13" s="46">
        <f>IF(COUNT(B13:H13)&lt;2,"",SLOPE(B13:H13,$B$5:$H$5))</f>
        <v/>
      </c>
      <c r="L13" s="47">
        <f>IF(K13="","",RANK(K13,$K$7:$K$27,1))</f>
        <v/>
      </c>
    </row>
    <row r="14" ht="18" customHeight="1" s="31">
      <c r="A14" s="48" t="n"/>
      <c r="B14" s="49" t="n"/>
      <c r="C14" s="49" t="n"/>
      <c r="D14" s="49" t="n"/>
      <c r="E14" s="49" t="n"/>
      <c r="F14" s="49" t="n"/>
      <c r="G14" s="49" t="n"/>
      <c r="H14" s="49" t="n"/>
      <c r="I14" s="50">
        <f>IF(COUNT(B14:H14)=0,"",SUM(B14:H14))</f>
        <v/>
      </c>
      <c r="J14" s="51">
        <f>IF(I14="","",RANK(I14,$I$7:$I$27,1))</f>
        <v/>
      </c>
      <c r="K14" s="52">
        <f>IF(COUNT(B14:H14)&lt;2,"",SLOPE(B14:H14,$B$5:$H$5))</f>
        <v/>
      </c>
      <c r="L14" s="53">
        <f>IF(K14="","",RANK(K14,$K$7:$K$27,1))</f>
        <v/>
      </c>
    </row>
    <row r="15" ht="18" customHeight="1" s="31">
      <c r="A15" s="42" t="n"/>
      <c r="B15" s="43" t="n"/>
      <c r="C15" s="43" t="n"/>
      <c r="D15" s="43" t="n"/>
      <c r="E15" s="43" t="n"/>
      <c r="F15" s="43" t="n"/>
      <c r="G15" s="43" t="n"/>
      <c r="H15" s="43" t="n"/>
      <c r="I15" s="44">
        <f>IF(COUNT(B15:H15)=0,"",SUM(B15:H15))</f>
        <v/>
      </c>
      <c r="J15" s="45">
        <f>IF(I15="","",RANK(I15,$I$7:$I$27,1))</f>
        <v/>
      </c>
      <c r="K15" s="46">
        <f>IF(COUNT(B15:H15)&lt;2,"",SLOPE(B15:H15,$B$5:$H$5))</f>
        <v/>
      </c>
      <c r="L15" s="47">
        <f>IF(K15="","",RANK(K15,$K$7:$K$27,1))</f>
        <v/>
      </c>
    </row>
    <row r="16" ht="18" customHeight="1" s="31">
      <c r="A16" s="48" t="n"/>
      <c r="B16" s="49" t="n"/>
      <c r="C16" s="49" t="n"/>
      <c r="D16" s="49" t="n"/>
      <c r="E16" s="49" t="n"/>
      <c r="F16" s="49" t="n"/>
      <c r="G16" s="49" t="n"/>
      <c r="H16" s="49" t="n"/>
      <c r="I16" s="50">
        <f>IF(COUNT(B16:H16)=0,"",SUM(B16:H16))</f>
        <v/>
      </c>
      <c r="J16" s="51">
        <f>IF(I16="","",RANK(I16,$I$7:$I$27,1))</f>
        <v/>
      </c>
      <c r="K16" s="52">
        <f>IF(COUNT(B16:H16)&lt;2,"",SLOPE(B16:H16,$B$5:$H$5))</f>
        <v/>
      </c>
      <c r="L16" s="53">
        <f>IF(K16="","",RANK(K16,$K$7:$K$27,1))</f>
        <v/>
      </c>
    </row>
    <row r="17" ht="18" customHeight="1" s="31">
      <c r="A17" s="42" t="n"/>
      <c r="B17" s="43" t="n"/>
      <c r="C17" s="43" t="n"/>
      <c r="D17" s="43" t="n"/>
      <c r="E17" s="43" t="n"/>
      <c r="F17" s="43" t="n"/>
      <c r="G17" s="43" t="n"/>
      <c r="H17" s="43" t="n"/>
      <c r="I17" s="44">
        <f>IF(COUNT(B17:H17)=0,"",SUM(B17:H17))</f>
        <v/>
      </c>
      <c r="J17" s="45">
        <f>IF(I17="","",RANK(I17,$I$7:$I$27,1))</f>
        <v/>
      </c>
      <c r="K17" s="46">
        <f>IF(COUNT(B17:H17)&lt;2,"",SLOPE(B17:H17,$B$5:$H$5))</f>
        <v/>
      </c>
      <c r="L17" s="47">
        <f>IF(K17="","",RANK(K17,$K$7:$K$27,1))</f>
        <v/>
      </c>
    </row>
    <row r="18" ht="18" customHeight="1" s="31">
      <c r="A18" s="48" t="n"/>
      <c r="B18" s="49" t="n"/>
      <c r="C18" s="49" t="n"/>
      <c r="D18" s="49" t="n"/>
      <c r="E18" s="49" t="n"/>
      <c r="F18" s="49" t="n"/>
      <c r="G18" s="49" t="n"/>
      <c r="H18" s="49" t="n"/>
      <c r="I18" s="50">
        <f>IF(COUNT(B18:H18)=0,"",SUM(B18:H18))</f>
        <v/>
      </c>
      <c r="J18" s="51">
        <f>IF(I18="","",RANK(I18,$I$7:$I$27,1))</f>
        <v/>
      </c>
      <c r="K18" s="52">
        <f>IF(COUNT(B18:H18)&lt;2,"",SLOPE(B18:H18,$B$5:$H$5))</f>
        <v/>
      </c>
      <c r="L18" s="53">
        <f>IF(K18="","",RANK(K18,$K$7:$K$27,1))</f>
        <v/>
      </c>
    </row>
    <row r="19" ht="18" customHeight="1" s="31">
      <c r="A19" s="42" t="n"/>
      <c r="B19" s="43" t="n"/>
      <c r="C19" s="43" t="n"/>
      <c r="D19" s="43" t="n"/>
      <c r="E19" s="43" t="n"/>
      <c r="F19" s="43" t="n"/>
      <c r="G19" s="43" t="n"/>
      <c r="H19" s="43" t="n"/>
      <c r="I19" s="44">
        <f>IF(COUNT(B19:H19)=0,"",SUM(B19:H19))</f>
        <v/>
      </c>
      <c r="J19" s="45">
        <f>IF(I19="","",RANK(I19,$I$7:$I$27,1))</f>
        <v/>
      </c>
      <c r="K19" s="46">
        <f>IF(COUNT(B19:H19)&lt;2,"",SLOPE(B19:H19,$B$5:$H$5))</f>
        <v/>
      </c>
      <c r="L19" s="47">
        <f>IF(K19="","",RANK(K19,$K$7:$K$27,1))</f>
        <v/>
      </c>
    </row>
    <row r="20" ht="18" customHeight="1" s="31">
      <c r="A20" s="48" t="n"/>
      <c r="B20" s="49" t="n"/>
      <c r="C20" s="49" t="n"/>
      <c r="D20" s="49" t="n"/>
      <c r="E20" s="49" t="n"/>
      <c r="F20" s="49" t="n"/>
      <c r="G20" s="49" t="n"/>
      <c r="H20" s="49" t="n"/>
      <c r="I20" s="50">
        <f>IF(COUNT(B20:H20)=0,"",SUM(B20:H20))</f>
        <v/>
      </c>
      <c r="J20" s="51">
        <f>IF(I20="","",RANK(I20,$I$7:$I$27,1))</f>
        <v/>
      </c>
      <c r="K20" s="52">
        <f>IF(COUNT(B20:H20)&lt;2,"",SLOPE(B20:H20,$B$5:$H$5))</f>
        <v/>
      </c>
      <c r="L20" s="53">
        <f>IF(K20="","",RANK(K20,$K$7:$K$27,1))</f>
        <v/>
      </c>
    </row>
    <row r="21" ht="18" customHeight="1" s="31">
      <c r="A21" s="42" t="n"/>
      <c r="B21" s="43" t="n"/>
      <c r="C21" s="43" t="n"/>
      <c r="D21" s="43" t="n"/>
      <c r="E21" s="43" t="n"/>
      <c r="F21" s="43" t="n"/>
      <c r="G21" s="43" t="n"/>
      <c r="H21" s="43" t="n"/>
      <c r="I21" s="44">
        <f>IF(COUNT(B21:H21)=0,"",SUM(B21:H21))</f>
        <v/>
      </c>
      <c r="J21" s="45">
        <f>IF(I21="","",RANK(I21,$I$7:$I$27,1))</f>
        <v/>
      </c>
      <c r="K21" s="46">
        <f>IF(COUNT(B21:H21)&lt;2,"",SLOPE(B21:H21,$B$5:$H$5))</f>
        <v/>
      </c>
      <c r="L21" s="47">
        <f>IF(K21="","",RANK(K21,$K$7:$K$27,1))</f>
        <v/>
      </c>
    </row>
    <row r="22" ht="18" customHeight="1" s="31">
      <c r="A22" s="48" t="n"/>
      <c r="B22" s="49" t="n"/>
      <c r="C22" s="49" t="n"/>
      <c r="D22" s="49" t="n"/>
      <c r="E22" s="49" t="n"/>
      <c r="F22" s="49" t="n"/>
      <c r="G22" s="49" t="n"/>
      <c r="H22" s="49" t="n"/>
      <c r="I22" s="50">
        <f>IF(COUNT(B22:H22)=0,"",SUM(B22:H22))</f>
        <v/>
      </c>
      <c r="J22" s="51">
        <f>IF(I22="","",RANK(I22,$I$7:$I$27,1))</f>
        <v/>
      </c>
      <c r="K22" s="52">
        <f>IF(COUNT(B22:H22)&lt;2,"",SLOPE(B22:H22,$B$5:$H$5))</f>
        <v/>
      </c>
      <c r="L22" s="53">
        <f>IF(K22="","",RANK(K22,$K$7:$K$27,1))</f>
        <v/>
      </c>
    </row>
    <row r="23" ht="18" customHeight="1" s="31">
      <c r="A23" s="42" t="n"/>
      <c r="B23" s="43" t="n"/>
      <c r="C23" s="43" t="n"/>
      <c r="D23" s="43" t="n"/>
      <c r="E23" s="43" t="n"/>
      <c r="F23" s="43" t="n"/>
      <c r="G23" s="43" t="n"/>
      <c r="H23" s="43" t="n"/>
      <c r="I23" s="44">
        <f>IF(COUNT(B23:H23)=0,"",SUM(B23:H23))</f>
        <v/>
      </c>
      <c r="J23" s="45">
        <f>IF(I23="","",RANK(I23,$I$7:$I$27,1))</f>
        <v/>
      </c>
      <c r="K23" s="46">
        <f>IF(COUNT(B23:H23)&lt;2,"",SLOPE(B23:H23,$B$5:$H$5))</f>
        <v/>
      </c>
      <c r="L23" s="47">
        <f>IF(K23="","",RANK(K23,$K$7:$K$27,1))</f>
        <v/>
      </c>
    </row>
    <row r="24" ht="18" customHeight="1" s="31">
      <c r="A24" s="48" t="n"/>
      <c r="B24" s="49" t="n"/>
      <c r="C24" s="49" t="n"/>
      <c r="D24" s="49" t="n"/>
      <c r="E24" s="49" t="n"/>
      <c r="F24" s="49" t="n"/>
      <c r="G24" s="49" t="n"/>
      <c r="H24" s="49" t="n"/>
      <c r="I24" s="50">
        <f>IF(COUNT(B24:H24)=0,"",SUM(B24:H24))</f>
        <v/>
      </c>
      <c r="J24" s="51">
        <f>IF(I24="","",RANK(I24,$I$7:$I$27,1))</f>
        <v/>
      </c>
      <c r="K24" s="52">
        <f>IF(COUNT(B24:H24)&lt;2,"",SLOPE(B24:H24,$B$5:$H$5))</f>
        <v/>
      </c>
      <c r="L24" s="53">
        <f>IF(K24="","",RANK(K24,$K$7:$K$27,1))</f>
        <v/>
      </c>
    </row>
    <row r="25" ht="18" customHeight="1" s="31">
      <c r="A25" s="42" t="n"/>
      <c r="B25" s="43" t="n"/>
      <c r="C25" s="43" t="n"/>
      <c r="D25" s="43" t="n"/>
      <c r="E25" s="43" t="n"/>
      <c r="F25" s="43" t="n"/>
      <c r="G25" s="43" t="n"/>
      <c r="H25" s="43" t="n"/>
      <c r="I25" s="44">
        <f>IF(COUNT(B25:H25)=0,"",SUM(B25:H25))</f>
        <v/>
      </c>
      <c r="J25" s="45">
        <f>IF(I25="","",RANK(I25,$I$7:$I$27,1))</f>
        <v/>
      </c>
      <c r="K25" s="46">
        <f>IF(COUNT(B25:H25)&lt;2,"",SLOPE(B25:H25,$B$5:$H$5))</f>
        <v/>
      </c>
      <c r="L25" s="47">
        <f>IF(K25="","",RANK(K25,$K$7:$K$27,1))</f>
        <v/>
      </c>
    </row>
    <row r="26" ht="18" customHeight="1" s="31">
      <c r="A26" s="48" t="n"/>
      <c r="B26" s="49" t="n"/>
      <c r="C26" s="49" t="n"/>
      <c r="D26" s="49" t="n"/>
      <c r="E26" s="49" t="n"/>
      <c r="F26" s="49" t="n"/>
      <c r="G26" s="49" t="n"/>
      <c r="H26" s="49" t="n"/>
      <c r="I26" s="50">
        <f>IF(COUNT(B26:H26)=0,"",SUM(B26:H26))</f>
        <v/>
      </c>
      <c r="J26" s="51">
        <f>IF(I26="","",RANK(I26,$I$7:$I$27,1))</f>
        <v/>
      </c>
      <c r="K26" s="52">
        <f>IF(COUNT(B26:H26)&lt;2,"",SLOPE(B26:H26,$B$5:$H$5))</f>
        <v/>
      </c>
      <c r="L26" s="53">
        <f>IF(K26="","",RANK(K26,$K$7:$K$27,1))</f>
        <v/>
      </c>
    </row>
    <row r="27" ht="18" customHeight="1" s="31">
      <c r="A27" s="42" t="n"/>
      <c r="B27" s="43" t="n"/>
      <c r="C27" s="43" t="n"/>
      <c r="D27" s="43" t="n"/>
      <c r="E27" s="43" t="n"/>
      <c r="F27" s="43" t="n"/>
      <c r="G27" s="43" t="n"/>
      <c r="H27" s="43" t="n"/>
      <c r="I27" s="44">
        <f>IF(COUNT(B27:H27)=0,"",SUM(B27:H27))</f>
        <v/>
      </c>
      <c r="J27" s="45">
        <f>IF(I27="","",RANK(I27,$I$7:$I$27,1))</f>
        <v/>
      </c>
      <c r="K27" s="46">
        <f>IF(COUNT(B27:H27)&lt;2,"",SLOPE(B27:H27,$B$5:$H$5))</f>
        <v/>
      </c>
      <c r="L27" s="47">
        <f>IF(K27="","",RANK(K27,$K$7:$K$27,1))</f>
        <v/>
      </c>
    </row>
    <row r="28"/>
    <row r="29" ht="25.5" customHeight="1" s="31">
      <c r="A29" s="54" t="inlineStr">
        <is>
          <t>This term’s awards</t>
        </is>
      </c>
    </row>
    <row r="30" ht="21.75" customHeight="1" s="31">
      <c r="A30" s="55" t="inlineStr">
        <is>
          <t>🏆  Lowest total screen time</t>
        </is>
      </c>
      <c r="G30" s="56">
        <f>IFERROR(INDEX($A$7:$A$27,MATCH(1,$J$7:$J$27,0)),"waiting on data")</f>
        <v/>
      </c>
    </row>
    <row r="31" ht="21.75" customHeight="1" s="31">
      <c r="A31" s="57" t="inlineStr">
        <is>
          <t>🌱  Most reduced screen time</t>
        </is>
      </c>
      <c r="G31" s="58">
        <f>IFERROR(INDEX($A$7:$A$27,MATCH(1,$L$7:$L$27,0)),"waiting on data")</f>
        <v/>
      </c>
    </row>
    <row r="32"/>
    <row r="33" ht="15" customHeight="1" s="31">
      <c r="A33" s="59" t="inlineStr">
        <is>
          <t>How to use this tracker
• Type each student’s name into column A, one row per student.
• Each week, add that week’s ending date into the next empty column heading (B–H), then enter each student’s average daily screen time for that week (in hours, e.g. 3.5 for 3h 30m).
• Total, Rank, Trend and the awards above all update automatically. A negative Trend means screen time is falling across the term.</t>
        </is>
      </c>
    </row>
    <row r="34" ht="15" customHeight="1" s="31"/>
    <row r="35" ht="15" customHeight="1" s="31"/>
    <row r="36" ht="15" customHeight="1" s="31"/>
  </sheetData>
  <mergeCells count="12">
    <mergeCell ref="B4:L4"/>
    <mergeCell ref="A2:L2"/>
    <mergeCell ref="A29:L29"/>
    <mergeCell ref="A4:A6"/>
    <mergeCell ref="A1:L1"/>
    <mergeCell ref="A31:F31"/>
    <mergeCell ref="G31:L31"/>
    <mergeCell ref="K5:L5"/>
    <mergeCell ref="I5:J5"/>
    <mergeCell ref="A33:L36"/>
    <mergeCell ref="A30:F30"/>
    <mergeCell ref="G30:L3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Pastoral Guide</dc:creator>
  <dc:title xmlns:dc="http://purl.org/dc/elements/1.1/">How Does Screen Time Affect…? Tracker</dc:title>
  <dc:description xmlns:dc="http://purl.org/dc/elements/1.1/">A free pastoral resource for form tutors, from The Pastoral Guide, thepastoralguide.com</dc:description>
  <dc:subject xmlns:dc="http://purl.org/dc/elements/1.1/">A free pastoral resource for form tutors, from The Pastoral Guide, thepastoralguide.com</dc:subject>
  <dcterms:created xmlns:dcterms="http://purl.org/dc/terms/" xmlns:xsi="http://www.w3.org/2001/XMLSchema-instance" xsi:type="dcterms:W3CDTF">2026-09-14T05:55:02Z</dcterms:created>
  <dcterms:modified xmlns:dcterms="http://purl.org/dc/terms/" xmlns:xsi="http://www.w3.org/2001/XMLSchema-instance" xsi:type="dcterms:W3CDTF">2026-10-07T03:14:02Z</dcterms:modified>
  <cp:lastModifiedBy>The Pastoral Guide</cp:lastModifiedBy>
  <cp:category>Pastoral resources</cp:category>
  <cp:revision>1</cp:revision>
  <cp:keywords>form time, tutor time, pastoral, PSHE, secondary, free</cp:keywords>
</cp:coreProperties>
</file>